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1_A50B425471CA12963B36E01FF52FCC2607A621C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Efficiency Data" sheetId="2" r:id="rId2"/>
    <sheet name="Bottleneck Analysis" sheetId="3" r:id="rId3"/>
    <sheet name="Improvement Tracker" sheetId="4" r:id="rId4"/>
    <sheet name="Time Savings Calculator" sheetId="5" r:id="rId5"/>
    <sheet name="KPI Tracker" sheetId="6" r:id="rId6"/>
    <sheet name="Workflow Map" sheetId="7" r:id="rId7"/>
    <sheet name="Validation Li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E6" i="6"/>
  <c r="E5" i="6"/>
  <c r="E4" i="6"/>
  <c r="E3" i="6"/>
  <c r="E2" i="6"/>
  <c r="B9" i="5"/>
  <c r="B10" i="5" s="1"/>
  <c r="B5" i="5"/>
  <c r="B6" i="5" s="1"/>
  <c r="B4" i="5"/>
  <c r="I8" i="2"/>
  <c r="G8" i="2"/>
  <c r="F8" i="2"/>
  <c r="I7" i="2"/>
  <c r="G7" i="2"/>
  <c r="F7" i="2"/>
  <c r="I6" i="2"/>
  <c r="G6" i="2"/>
  <c r="F6" i="2"/>
  <c r="I5" i="2"/>
  <c r="G5" i="2"/>
  <c r="F5" i="2"/>
  <c r="I4" i="2"/>
  <c r="G4" i="2"/>
  <c r="F4" i="2"/>
  <c r="I3" i="2"/>
  <c r="G3" i="2"/>
  <c r="F3" i="2"/>
  <c r="I2" i="2"/>
  <c r="G2" i="2"/>
  <c r="F2" i="2"/>
  <c r="B15" i="1"/>
  <c r="C12" i="1" s="1"/>
  <c r="B9" i="1"/>
  <c r="B6" i="1"/>
  <c r="B5" i="1"/>
  <c r="B4" i="1"/>
  <c r="B7" i="1" l="1"/>
  <c r="B8" i="5"/>
  <c r="B8" i="1" s="1"/>
  <c r="C13" i="1"/>
  <c r="C14" i="1"/>
</calcChain>
</file>

<file path=xl/sharedStrings.xml><?xml version="1.0" encoding="utf-8"?>
<sst xmlns="http://schemas.openxmlformats.org/spreadsheetml/2006/main" count="317" uniqueCount="215">
  <si>
    <t>Operational Efficiency Dashboard</t>
  </si>
  <si>
    <t>Metric</t>
  </si>
  <si>
    <t>Result</t>
  </si>
  <si>
    <t>Current</t>
  </si>
  <si>
    <t>Target</t>
  </si>
  <si>
    <t>Bottleneck</t>
  </si>
  <si>
    <t>Delay</t>
  </si>
  <si>
    <t>Registration time saved</t>
  </si>
  <si>
    <t>Registration</t>
  </si>
  <si>
    <t>Check-in</t>
  </si>
  <si>
    <t>Patient waiting time reduced</t>
  </si>
  <si>
    <t>Waiting</t>
  </si>
  <si>
    <t>Insurance</t>
  </si>
  <si>
    <t>Daily registration minutes saved</t>
  </si>
  <si>
    <t>Confirmation</t>
  </si>
  <si>
    <t>Records</t>
  </si>
  <si>
    <t>Monthly admin hours saved</t>
  </si>
  <si>
    <t>Department</t>
  </si>
  <si>
    <t>Estimated monthly cost saving</t>
  </si>
  <si>
    <t>Status update</t>
  </si>
  <si>
    <t>Same-day resolution target</t>
  </si>
  <si>
    <t>Escalation</t>
  </si>
  <si>
    <t>Improvement Status</t>
  </si>
  <si>
    <t>Count</t>
  </si>
  <si>
    <t>Share</t>
  </si>
  <si>
    <t>Not Started</t>
  </si>
  <si>
    <t>In Progress</t>
  </si>
  <si>
    <t>Completed</t>
  </si>
  <si>
    <t>Total</t>
  </si>
  <si>
    <t>Process Area</t>
  </si>
  <si>
    <t>Current Performance</t>
  </si>
  <si>
    <t>Improved Target</t>
  </si>
  <si>
    <t>Unit</t>
  </si>
  <si>
    <t>Gap</t>
  </si>
  <si>
    <t>Improvement %</t>
  </si>
  <si>
    <t>Daily Volume</t>
  </si>
  <si>
    <t>Daily Minutes Saved</t>
  </si>
  <si>
    <t>Patient Registration</t>
  </si>
  <si>
    <t>Average registration time</t>
  </si>
  <si>
    <t>minutes</t>
  </si>
  <si>
    <t>Patient Waiting</t>
  </si>
  <si>
    <t>Average waiting time</t>
  </si>
  <si>
    <t>Appointment Coordination</t>
  </si>
  <si>
    <t>Appointment confirmation delay</t>
  </si>
  <si>
    <t>Medical Records</t>
  </si>
  <si>
    <t>Record retrieval time</t>
  </si>
  <si>
    <t>Insurance Review</t>
  </si>
  <si>
    <t>Insurance approval delay</t>
  </si>
  <si>
    <t>Record Accuracy</t>
  </si>
  <si>
    <t>Duplicate record rate</t>
  </si>
  <si>
    <t>%</t>
  </si>
  <si>
    <t>Issue Resolution</t>
  </si>
  <si>
    <t>Same-day issue resolution</t>
  </si>
  <si>
    <t>Bottleneck ID</t>
  </si>
  <si>
    <t>Process Step</t>
  </si>
  <si>
    <t>Issue</t>
  </si>
  <si>
    <t>Root Cause</t>
  </si>
  <si>
    <t>Current Delay (min)</t>
  </si>
  <si>
    <t>Impact</t>
  </si>
  <si>
    <t>Recommended Action</t>
  </si>
  <si>
    <t>Owner</t>
  </si>
  <si>
    <t>Priority</t>
  </si>
  <si>
    <t>Status</t>
  </si>
  <si>
    <t>BN-001</t>
  </si>
  <si>
    <t>Patient check-in</t>
  </si>
  <si>
    <t>Details verified after arrival</t>
  </si>
  <si>
    <t>No pre-visit checklist</t>
  </si>
  <si>
    <t>Longer registration queue</t>
  </si>
  <si>
    <t>Create daily pre-visit verification checklist</t>
  </si>
  <si>
    <t>Front Desk Lead</t>
  </si>
  <si>
    <t>High</t>
  </si>
  <si>
    <t>BN-002</t>
  </si>
  <si>
    <t>Insurance review</t>
  </si>
  <si>
    <t>Approval checked at the counter</t>
  </si>
  <si>
    <t>Insurance status not reviewed before visit</t>
  </si>
  <si>
    <t>Patient wait time increases</t>
  </si>
  <si>
    <t>Review insurance status one day before appointment</t>
  </si>
  <si>
    <t>Billing Officer</t>
  </si>
  <si>
    <t>BN-003</t>
  </si>
  <si>
    <t>Records search</t>
  </si>
  <si>
    <t>Duplicate patient records found</t>
  </si>
  <si>
    <t>No duplicate check field</t>
  </si>
  <si>
    <t>Incorrect record selection risk</t>
  </si>
  <si>
    <t>Use patient ID and mobile number duplicate check</t>
  </si>
  <si>
    <t>Records Officer</t>
  </si>
  <si>
    <t>Medium</t>
  </si>
  <si>
    <t>BN-004</t>
  </si>
  <si>
    <t>Department confirmation</t>
  </si>
  <si>
    <t>Availability confirmed late</t>
  </si>
  <si>
    <t>No shared capacity view</t>
  </si>
  <si>
    <t>Department handoff delay</t>
  </si>
  <si>
    <t>Use shared capacity board and morning huddle</t>
  </si>
  <si>
    <t>Outpatient Coordinator</t>
  </si>
  <si>
    <t>BN-005</t>
  </si>
  <si>
    <t>Appointment status updated twice</t>
  </si>
  <si>
    <t>Separate department trackers</t>
  </si>
  <si>
    <t>Repeated data entry</t>
  </si>
  <si>
    <t>Create one shared appointment status tracker</t>
  </si>
  <si>
    <t>Operations Supervisor</t>
  </si>
  <si>
    <t>Critical</t>
  </si>
  <si>
    <t>BN-006</t>
  </si>
  <si>
    <t>Issue escalation</t>
  </si>
  <si>
    <t>Unclear owner for delays</t>
  </si>
  <si>
    <t>No time-based escalation rule</t>
  </si>
  <si>
    <t>Delayed case resolution</t>
  </si>
  <si>
    <t>Assign escalation rules by issue type</t>
  </si>
  <si>
    <t>Quality Coordinator</t>
  </si>
  <si>
    <t>Action ID</t>
  </si>
  <si>
    <t>Improvement Action</t>
  </si>
  <si>
    <t>Start Date</t>
  </si>
  <si>
    <t>Due Date</t>
  </si>
  <si>
    <t>Progress %</t>
  </si>
  <si>
    <t>Expected Benefit</t>
  </si>
  <si>
    <t>Notes</t>
  </si>
  <si>
    <t>IMP-001</t>
  </si>
  <si>
    <t>Introduce pre-visit verification checklist</t>
  </si>
  <si>
    <t>Reduce registration time by 4 minutes</t>
  </si>
  <si>
    <t>Checklist includes ID, contact details, appointment status, and required documents</t>
  </si>
  <si>
    <t>IMP-002</t>
  </si>
  <si>
    <t>Build shared appointment and insurance tracker</t>
  </si>
  <si>
    <t>Reduce repeated updates and improve visibility</t>
  </si>
  <si>
    <t>Tracker includes patient ID, department, insurance, status, and owner</t>
  </si>
  <si>
    <t>IMP-003</t>
  </si>
  <si>
    <t>Review insurance status one day before appointments</t>
  </si>
  <si>
    <t>Reduce approval delays by 50%</t>
  </si>
  <si>
    <t>Use next-day appointment list for pre-checks</t>
  </si>
  <si>
    <t>IMP-004</t>
  </si>
  <si>
    <t>Create duplicate record prevention rules</t>
  </si>
  <si>
    <t>Lower duplicate record rate to 3%</t>
  </si>
  <si>
    <t>Validation rule uses patient ID and mobile number</t>
  </si>
  <si>
    <t>IMP-005</t>
  </si>
  <si>
    <t>Start 10-minute daily department huddle</t>
  </si>
  <si>
    <t>Interdepartmental Coordination</t>
  </si>
  <si>
    <t>Reduce department confirmation delays</t>
  </si>
  <si>
    <t>Review capacity, urgent cases, and unresolved issues</t>
  </si>
  <si>
    <t>IMP-006</t>
  </si>
  <si>
    <t>Implement escalation rules for unresolved cases</t>
  </si>
  <si>
    <t>Improve same-day resolution to 90%</t>
  </si>
  <si>
    <t>Escalate based on issue type and time limit</t>
  </si>
  <si>
    <t>Input / Output</t>
  </si>
  <si>
    <t>Value</t>
  </si>
  <si>
    <t>Formula / Notes</t>
  </si>
  <si>
    <t>Average patients per day</t>
  </si>
  <si>
    <t>patients</t>
  </si>
  <si>
    <t>Editable input</t>
  </si>
  <si>
    <t>Working days per month</t>
  </si>
  <si>
    <t>days</t>
  </si>
  <si>
    <t>Registration time saved per patient</t>
  </si>
  <si>
    <t>Current registration time minus improved target</t>
  </si>
  <si>
    <t>Patients per day multiplied by time saved</t>
  </si>
  <si>
    <t>Monthly registration hours saved</t>
  </si>
  <si>
    <t>hours</t>
  </si>
  <si>
    <t>Daily minutes saved multiplied by working days / 60</t>
  </si>
  <si>
    <t>Estimated admin cost per hour</t>
  </si>
  <si>
    <t>AED</t>
  </si>
  <si>
    <t>Estimated monthly admin cost saving</t>
  </si>
  <si>
    <t>Monthly hours saved multiplied by cost per hour</t>
  </si>
  <si>
    <t>Patient waiting time reduction per patient</t>
  </si>
  <si>
    <t>Current waiting time minus improved target</t>
  </si>
  <si>
    <t>Daily patient waiting minutes reduced</t>
  </si>
  <si>
    <t>Patients per day multiplied by waiting time reduction</t>
  </si>
  <si>
    <t>KPI</t>
  </si>
  <si>
    <t>Baseline</t>
  </si>
  <si>
    <t>Current Month</t>
  </si>
  <si>
    <t>Review Frequency</t>
  </si>
  <si>
    <t>Formula / Rule</t>
  </si>
  <si>
    <t>Weekly</t>
  </si>
  <si>
    <t>On Track if current month is less than or equal to target</t>
  </si>
  <si>
    <t>Average patient waiting time</t>
  </si>
  <si>
    <t>Monthly</t>
  </si>
  <si>
    <t>On Track if current month is greater than or equal to target</t>
  </si>
  <si>
    <t>Corrective action closure</t>
  </si>
  <si>
    <t>Current Workflow Step</t>
  </si>
  <si>
    <t>Description</t>
  </si>
  <si>
    <t>Pain Point</t>
  </si>
  <si>
    <t>Improved Workflow Step</t>
  </si>
  <si>
    <t>Expected Result</t>
  </si>
  <si>
    <t>Patient arrives at reception</t>
  </si>
  <si>
    <t>Queue builds during peak hours</t>
  </si>
  <si>
    <t>Next-day appointment list is prepared</t>
  </si>
  <si>
    <t>Exceptions identified before patient arrival</t>
  </si>
  <si>
    <t>Appointment is searched</t>
  </si>
  <si>
    <t>Search may use name instead of unique patient ID</t>
  </si>
  <si>
    <t>Patient record and insurance status are reviewed</t>
  </si>
  <si>
    <t>Registration starts with clear status</t>
  </si>
  <si>
    <t>Patient details are verified</t>
  </si>
  <si>
    <t>Repeated entry when details already exist</t>
  </si>
  <si>
    <t>Department capacity is checked during morning huddle</t>
  </si>
  <si>
    <t>Availability is visible to front desk</t>
  </si>
  <si>
    <t>Insurance status is checked</t>
  </si>
  <si>
    <t>Approval issue identified late</t>
  </si>
  <si>
    <t>Patient arrives and details are confirmed</t>
  </si>
  <si>
    <t>Only required changes are updated</t>
  </si>
  <si>
    <t>Department availability is confirmed</t>
  </si>
  <si>
    <t>Staff must call or message department</t>
  </si>
  <si>
    <t>Appointment status is updated in one shared tracker</t>
  </si>
  <si>
    <t>Departments see the same information</t>
  </si>
  <si>
    <t>Record is retrieved or corrected</t>
  </si>
  <si>
    <t>Duplicate records slow down selection</t>
  </si>
  <si>
    <t>Patient is directed to service area</t>
  </si>
  <si>
    <t>Waiting time is reduced</t>
  </si>
  <si>
    <t>Patient waits for final confirmation</t>
  </si>
  <si>
    <t>Waiting time increases</t>
  </si>
  <si>
    <t>Unresolved cases follow escalation rules</t>
  </si>
  <si>
    <t>Ownership and time limits are clear</t>
  </si>
  <si>
    <t>Status is updated after service</t>
  </si>
  <si>
    <t>Updates may be duplicated across trackers</t>
  </si>
  <si>
    <t>Daily KPI dashboard is reviewed</t>
  </si>
  <si>
    <t>Continuous improvement is supported</t>
  </si>
  <si>
    <t>Risk Level</t>
  </si>
  <si>
    <t>Low</t>
  </si>
  <si>
    <t>On Hold</t>
  </si>
  <si>
    <t>Pending Review</t>
  </si>
  <si>
    <t>Closed</t>
  </si>
  <si>
    <t>Billing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</si>
</sst>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164" fontId="4" fillId="4" borderId="0" xfId="0" applyNumberFormat="1" applyFont="1" applyFill="1" applyAlignment="1">
      <alignment horizontal="center" vertical="top"/>
    </xf>
    <xf numFmtId="0" fontId="0" fillId="5" borderId="0" xfId="0" applyFill="1" applyAlignment="1">
      <alignment vertical="top"/>
    </xf>
    <xf numFmtId="3" fontId="4" fillId="4" borderId="0" xfId="0" applyNumberFormat="1" applyFont="1" applyFill="1" applyAlignment="1">
      <alignment horizontal="center" vertical="top"/>
    </xf>
    <xf numFmtId="1" fontId="4" fillId="4" borderId="0" xfId="0" applyNumberFormat="1" applyFont="1" applyFill="1" applyAlignment="1">
      <alignment horizontal="center" vertical="top"/>
    </xf>
    <xf numFmtId="9" fontId="0" fillId="5" borderId="0" xfId="0" applyNumberFormat="1" applyFill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invertIfNegative val="1"/>
          <c:cat>
            <c:strRef>
              <c:f>Dashboard!$D$4:$D$8</c:f>
              <c:strCache>
                <c:ptCount val="5"/>
                <c:pt idx="0">
                  <c:v>Registration</c:v>
                </c:pt>
                <c:pt idx="1">
                  <c:v>Waiting</c:v>
                </c:pt>
                <c:pt idx="2">
                  <c:v>Confirmation</c:v>
                </c:pt>
                <c:pt idx="3">
                  <c:v>Records</c:v>
                </c:pt>
                <c:pt idx="4">
                  <c:v>Insurance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18</c:v>
                </c:pt>
                <c:pt idx="1">
                  <c:v>35</c:v>
                </c:pt>
                <c:pt idx="2">
                  <c:v>25</c:v>
                </c:pt>
                <c:pt idx="3">
                  <c:v>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3-48E0-A0A0-E059E1FF25D4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Dashboard!$D$4:$D$8</c:f>
              <c:strCache>
                <c:ptCount val="5"/>
                <c:pt idx="0">
                  <c:v>Registration</c:v>
                </c:pt>
                <c:pt idx="1">
                  <c:v>Waiting</c:v>
                </c:pt>
                <c:pt idx="2">
                  <c:v>Confirmation</c:v>
                </c:pt>
                <c:pt idx="3">
                  <c:v>Records</c:v>
                </c:pt>
                <c:pt idx="4">
                  <c:v>Insurance</c:v>
                </c:pt>
              </c:strCache>
            </c:strRef>
          </c:cat>
          <c:val>
            <c:numRef>
              <c:f>Dashboard!$F$4:$F$8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12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3-48E0-A0A0-E059E1FF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Delay</c:v>
          </c:tx>
          <c:invertIfNegative val="1"/>
          <c:cat>
            <c:strRef>
              <c:f>Dashboard!$H$4:$H$9</c:f>
              <c:strCache>
                <c:ptCount val="6"/>
                <c:pt idx="0">
                  <c:v>Check-in</c:v>
                </c:pt>
                <c:pt idx="1">
                  <c:v>Insurance</c:v>
                </c:pt>
                <c:pt idx="2">
                  <c:v>Records</c:v>
                </c:pt>
                <c:pt idx="3">
                  <c:v>Department</c:v>
                </c:pt>
                <c:pt idx="4">
                  <c:v>Status update</c:v>
                </c:pt>
                <c:pt idx="5">
                  <c:v>Escalation</c:v>
                </c:pt>
              </c:strCache>
            </c:strRef>
          </c:cat>
          <c:val>
            <c:numRef>
              <c:f>Dashboard!$I$4:$I$9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0-4825-B004-A0EE734A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Dashboard!$A$12:$A$14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Dashboard!$B$12:$B$14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1-479E-B975-27F8805CB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3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fficiencyDataTable" displayName="EfficiencyDataTable" ref="A1:I8">
  <tableColumns count="9">
    <tableColumn id="1" xr3:uid="{00000000-0010-0000-0000-000001000000}" name="Process Area"/>
    <tableColumn id="2" xr3:uid="{00000000-0010-0000-0000-000002000000}" name="Metric"/>
    <tableColumn id="3" xr3:uid="{00000000-0010-0000-0000-000003000000}" name="Current Performance"/>
    <tableColumn id="4" xr3:uid="{00000000-0010-0000-0000-000004000000}" name="Improved Target"/>
    <tableColumn id="5" xr3:uid="{00000000-0010-0000-0000-000005000000}" name="Unit"/>
    <tableColumn id="6" xr3:uid="{00000000-0010-0000-0000-000006000000}" name="Gap"/>
    <tableColumn id="7" xr3:uid="{00000000-0010-0000-0000-000007000000}" name="Improvement %"/>
    <tableColumn id="8" xr3:uid="{00000000-0010-0000-0000-000008000000}" name="Daily Volume"/>
    <tableColumn id="9" xr3:uid="{00000000-0010-0000-0000-000009000000}" name="Daily Minutes Sav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ttleneckTable" displayName="BottleneckTable" ref="A1:J7">
  <tableColumns count="10">
    <tableColumn id="1" xr3:uid="{00000000-0010-0000-0100-000001000000}" name="Bottleneck ID"/>
    <tableColumn id="2" xr3:uid="{00000000-0010-0000-0100-000002000000}" name="Process Step"/>
    <tableColumn id="3" xr3:uid="{00000000-0010-0000-0100-000003000000}" name="Issue"/>
    <tableColumn id="4" xr3:uid="{00000000-0010-0000-0100-000004000000}" name="Root Cause"/>
    <tableColumn id="5" xr3:uid="{00000000-0010-0000-0100-000005000000}" name="Current Delay (min)"/>
    <tableColumn id="6" xr3:uid="{00000000-0010-0000-0100-000006000000}" name="Impact"/>
    <tableColumn id="7" xr3:uid="{00000000-0010-0000-0100-000007000000}" name="Recommended Action"/>
    <tableColumn id="8" xr3:uid="{00000000-0010-0000-0100-000008000000}" name="Owner"/>
    <tableColumn id="9" xr3:uid="{00000000-0010-0000-0100-000009000000}" name="Priority"/>
    <tableColumn id="10" xr3:uid="{00000000-0010-0000-0100-00000A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mprovementTrackerTable" displayName="ImprovementTrackerTable" ref="A1:K7">
  <tableColumns count="11">
    <tableColumn id="1" xr3:uid="{00000000-0010-0000-0200-000001000000}" name="Action ID"/>
    <tableColumn id="2" xr3:uid="{00000000-0010-0000-0200-000002000000}" name="Improvement Action"/>
    <tableColumn id="3" xr3:uid="{00000000-0010-0000-0200-000003000000}" name="Process Area"/>
    <tableColumn id="4" xr3:uid="{00000000-0010-0000-0200-000004000000}" name="Owner"/>
    <tableColumn id="5" xr3:uid="{00000000-0010-0000-0200-000005000000}" name="Start Date"/>
    <tableColumn id="6" xr3:uid="{00000000-0010-0000-0200-000006000000}" name="Due Date"/>
    <tableColumn id="7" xr3:uid="{00000000-0010-0000-0200-000007000000}" name="Priority"/>
    <tableColumn id="8" xr3:uid="{00000000-0010-0000-0200-000008000000}" name="Status"/>
    <tableColumn id="9" xr3:uid="{00000000-0010-0000-0200-000009000000}" name="Progress %"/>
    <tableColumn id="10" xr3:uid="{00000000-0010-0000-0200-00000A000000}" name="Expected Benefit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meSavingsTable" displayName="TimeSavingsTable" ref="A1:D10">
  <tableColumns count="4">
    <tableColumn id="1" xr3:uid="{00000000-0010-0000-0300-000001000000}" name="Input / Output"/>
    <tableColumn id="2" xr3:uid="{00000000-0010-0000-0300-000002000000}" name="Value"/>
    <tableColumn id="3" xr3:uid="{00000000-0010-0000-0300-000003000000}" name="Unit"/>
    <tableColumn id="4" xr3:uid="{00000000-0010-0000-0300-000004000000}" name="Formula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PITrackerTable" displayName="KPITrackerTable" ref="A1:H7">
  <tableColumns count="8">
    <tableColumn id="1" xr3:uid="{00000000-0010-0000-0400-000001000000}" name="KPI"/>
    <tableColumn id="2" xr3:uid="{00000000-0010-0000-0400-000002000000}" name="Baseline"/>
    <tableColumn id="3" xr3:uid="{00000000-0010-0000-0400-000003000000}" name="Target"/>
    <tableColumn id="4" xr3:uid="{00000000-0010-0000-0400-000004000000}" name="Current Month"/>
    <tableColumn id="5" xr3:uid="{00000000-0010-0000-0400-000005000000}" name="Status"/>
    <tableColumn id="6" xr3:uid="{00000000-0010-0000-0400-000006000000}" name="Owner"/>
    <tableColumn id="7" xr3:uid="{00000000-0010-0000-0400-000007000000}" name="Review Frequency"/>
    <tableColumn id="8" xr3:uid="{00000000-0010-0000-0400-000008000000}" name="Formula /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activeCell="B7" sqref="B7"/>
    </sheetView>
  </sheetViews>
  <sheetFormatPr defaultRowHeight="13.8"/>
  <cols>
    <col min="1" max="2" width="25" customWidth="1"/>
    <col min="4" max="6" width="16" customWidth="1"/>
    <col min="8" max="9" width="17" customWidth="1"/>
  </cols>
  <sheetData>
    <row r="1" spans="1:26" ht="24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</v>
      </c>
      <c r="B3" s="2" t="s">
        <v>2</v>
      </c>
      <c r="C3" s="1"/>
      <c r="D3" s="2" t="s">
        <v>1</v>
      </c>
      <c r="E3" s="2" t="s">
        <v>3</v>
      </c>
      <c r="F3" s="2" t="s">
        <v>4</v>
      </c>
      <c r="G3" s="1"/>
      <c r="H3" s="2" t="s">
        <v>5</v>
      </c>
      <c r="I3" s="2" t="s">
        <v>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</v>
      </c>
      <c r="B4" s="4">
        <f>'Time Savings Calculator'!B4</f>
        <v>8</v>
      </c>
      <c r="C4" s="1"/>
      <c r="D4" s="5" t="s">
        <v>8</v>
      </c>
      <c r="E4" s="5">
        <v>18</v>
      </c>
      <c r="F4" s="5">
        <v>10</v>
      </c>
      <c r="G4" s="1"/>
      <c r="H4" s="5" t="s">
        <v>9</v>
      </c>
      <c r="I4" s="5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10</v>
      </c>
      <c r="B5" s="4">
        <f>'Time Savings Calculator'!B9</f>
        <v>15</v>
      </c>
      <c r="C5" s="1"/>
      <c r="D5" s="5" t="s">
        <v>11</v>
      </c>
      <c r="E5" s="5">
        <v>35</v>
      </c>
      <c r="F5" s="5">
        <v>20</v>
      </c>
      <c r="G5" s="1"/>
      <c r="H5" s="5" t="s">
        <v>12</v>
      </c>
      <c r="I5" s="5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13</v>
      </c>
      <c r="B6" s="4">
        <f>'Time Savings Calculator'!B5</f>
        <v>480</v>
      </c>
      <c r="C6" s="1"/>
      <c r="D6" s="5" t="s">
        <v>14</v>
      </c>
      <c r="E6" s="5">
        <v>25</v>
      </c>
      <c r="F6" s="5">
        <v>12</v>
      </c>
      <c r="G6" s="1"/>
      <c r="H6" s="5" t="s">
        <v>15</v>
      </c>
      <c r="I6" s="5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 t="s">
        <v>16</v>
      </c>
      <c r="B7" s="4">
        <f>'Time Savings Calculator'!B6</f>
        <v>176</v>
      </c>
      <c r="C7" s="1"/>
      <c r="D7" s="5" t="s">
        <v>15</v>
      </c>
      <c r="E7" s="5">
        <v>9</v>
      </c>
      <c r="F7" s="5">
        <v>5</v>
      </c>
      <c r="G7" s="1"/>
      <c r="H7" s="5" t="s">
        <v>17</v>
      </c>
      <c r="I7" s="5">
        <v>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18</v>
      </c>
      <c r="B8" s="6">
        <f>'Time Savings Calculator'!B8</f>
        <v>7920</v>
      </c>
      <c r="C8" s="1"/>
      <c r="D8" s="5" t="s">
        <v>12</v>
      </c>
      <c r="E8" s="5">
        <v>14</v>
      </c>
      <c r="F8" s="5">
        <v>7</v>
      </c>
      <c r="G8" s="1"/>
      <c r="H8" s="5" t="s">
        <v>19</v>
      </c>
      <c r="I8" s="5">
        <v>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20</v>
      </c>
      <c r="B9" s="7">
        <f>'Efficiency Data'!D8</f>
        <v>90</v>
      </c>
      <c r="C9" s="1"/>
      <c r="D9" s="1"/>
      <c r="E9" s="1"/>
      <c r="F9" s="1"/>
      <c r="G9" s="1"/>
      <c r="H9" s="5" t="s">
        <v>21</v>
      </c>
      <c r="I9" s="5">
        <v>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 t="s">
        <v>22</v>
      </c>
      <c r="B11" s="2" t="s">
        <v>23</v>
      </c>
      <c r="C11" s="2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 t="s">
        <v>25</v>
      </c>
      <c r="B12" s="5">
        <v>2</v>
      </c>
      <c r="C12" s="8">
        <f>B12/$B$15</f>
        <v>0.33333333333333331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 t="s">
        <v>26</v>
      </c>
      <c r="B13" s="5">
        <v>3</v>
      </c>
      <c r="C13" s="8">
        <f>B13/$B$15</f>
        <v>0.5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 t="s">
        <v>27</v>
      </c>
      <c r="B14" s="5">
        <v>1</v>
      </c>
      <c r="C14" s="8">
        <f>B14/$B$15</f>
        <v>0.16666666666666666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 t="s">
        <v>28</v>
      </c>
      <c r="B15" s="5">
        <f>SUM(B12:B14)</f>
        <v>6</v>
      </c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F2" sqref="F2"/>
    </sheetView>
  </sheetViews>
  <sheetFormatPr defaultRowHeight="13.8"/>
  <cols>
    <col min="1" max="1" width="20" customWidth="1"/>
    <col min="2" max="2" width="28" customWidth="1"/>
    <col min="3" max="7" width="20" customWidth="1"/>
    <col min="8" max="9" width="18" customWidth="1"/>
  </cols>
  <sheetData>
    <row r="1" spans="1:26" ht="27.6">
      <c r="A1" s="2" t="s">
        <v>29</v>
      </c>
      <c r="B1" s="2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 t="s">
        <v>37</v>
      </c>
      <c r="B2" s="9" t="s">
        <v>38</v>
      </c>
      <c r="C2" s="10">
        <v>18</v>
      </c>
      <c r="D2" s="10">
        <v>10</v>
      </c>
      <c r="E2" s="9" t="s">
        <v>39</v>
      </c>
      <c r="F2" s="9">
        <f t="shared" ref="F2:F8" si="0">C2-D2</f>
        <v>8</v>
      </c>
      <c r="G2" s="11">
        <f t="shared" ref="G2:G8" si="1">IF(C2=0,0,(C2-D2)/C2)</f>
        <v>0.44444444444444442</v>
      </c>
      <c r="H2" s="9">
        <v>60</v>
      </c>
      <c r="I2" s="12">
        <f t="shared" ref="I2:I8" si="2">IF(E2="minutes",F2*H2,"")</f>
        <v>480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9" t="s">
        <v>40</v>
      </c>
      <c r="B3" s="9" t="s">
        <v>41</v>
      </c>
      <c r="C3" s="10">
        <v>35</v>
      </c>
      <c r="D3" s="10">
        <v>20</v>
      </c>
      <c r="E3" s="9" t="s">
        <v>39</v>
      </c>
      <c r="F3" s="9">
        <f t="shared" si="0"/>
        <v>15</v>
      </c>
      <c r="G3" s="11">
        <f t="shared" si="1"/>
        <v>0.42857142857142855</v>
      </c>
      <c r="H3" s="9">
        <v>60</v>
      </c>
      <c r="I3" s="12">
        <f t="shared" si="2"/>
        <v>900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9" t="s">
        <v>42</v>
      </c>
      <c r="B4" s="9" t="s">
        <v>43</v>
      </c>
      <c r="C4" s="10">
        <v>25</v>
      </c>
      <c r="D4" s="10">
        <v>12</v>
      </c>
      <c r="E4" s="9" t="s">
        <v>39</v>
      </c>
      <c r="F4" s="9">
        <f t="shared" si="0"/>
        <v>13</v>
      </c>
      <c r="G4" s="11">
        <f t="shared" si="1"/>
        <v>0.52</v>
      </c>
      <c r="H4" s="9">
        <v>40</v>
      </c>
      <c r="I4" s="12">
        <f t="shared" si="2"/>
        <v>520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9" t="s">
        <v>44</v>
      </c>
      <c r="B5" s="9" t="s">
        <v>45</v>
      </c>
      <c r="C5" s="10">
        <v>9</v>
      </c>
      <c r="D5" s="10">
        <v>5</v>
      </c>
      <c r="E5" s="9" t="s">
        <v>39</v>
      </c>
      <c r="F5" s="9">
        <f t="shared" si="0"/>
        <v>4</v>
      </c>
      <c r="G5" s="11">
        <f t="shared" si="1"/>
        <v>0.44444444444444442</v>
      </c>
      <c r="H5" s="9">
        <v>35</v>
      </c>
      <c r="I5" s="12">
        <f t="shared" si="2"/>
        <v>140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" t="s">
        <v>46</v>
      </c>
      <c r="B6" s="9" t="s">
        <v>47</v>
      </c>
      <c r="C6" s="10">
        <v>14</v>
      </c>
      <c r="D6" s="10">
        <v>7</v>
      </c>
      <c r="E6" s="9" t="s">
        <v>39</v>
      </c>
      <c r="F6" s="9">
        <f t="shared" si="0"/>
        <v>7</v>
      </c>
      <c r="G6" s="11">
        <f t="shared" si="1"/>
        <v>0.5</v>
      </c>
      <c r="H6" s="9">
        <v>45</v>
      </c>
      <c r="I6" s="12">
        <f t="shared" si="2"/>
        <v>315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 t="s">
        <v>48</v>
      </c>
      <c r="B7" s="9" t="s">
        <v>49</v>
      </c>
      <c r="C7" s="10">
        <v>8</v>
      </c>
      <c r="D7" s="10">
        <v>3</v>
      </c>
      <c r="E7" s="9" t="s">
        <v>50</v>
      </c>
      <c r="F7" s="9">
        <f t="shared" si="0"/>
        <v>5</v>
      </c>
      <c r="G7" s="11">
        <f t="shared" si="1"/>
        <v>0.625</v>
      </c>
      <c r="H7" s="9">
        <v>60</v>
      </c>
      <c r="I7" s="12" t="str">
        <f t="shared" si="2"/>
        <v/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 t="s">
        <v>51</v>
      </c>
      <c r="B8" s="9" t="s">
        <v>52</v>
      </c>
      <c r="C8" s="10">
        <v>70</v>
      </c>
      <c r="D8" s="10">
        <v>90</v>
      </c>
      <c r="E8" s="9" t="s">
        <v>50</v>
      </c>
      <c r="F8" s="9">
        <f t="shared" si="0"/>
        <v>-20</v>
      </c>
      <c r="G8" s="11">
        <f t="shared" si="1"/>
        <v>-0.2857142857142857</v>
      </c>
      <c r="H8" s="9">
        <v>25</v>
      </c>
      <c r="I8" s="12" t="str">
        <f t="shared" si="2"/>
        <v/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G2:G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{40FE17F9-D83A-AFB5-A92C-D1B03255C476}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FE17F9-D83A-AFB5-A92C-D1B03255C476}">
            <x14:dataBar>
              <x14:cfvo type="min"/>
              <x14:cfvo type="max"/>
              <x14:negativeFillColor auto="1"/>
              <x14:axisColor auto="1"/>
            </x14:dataBar>
          </x14:cfRule>
          <xm:sqref>G2:G8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8"/>
  <cols>
    <col min="1" max="2" width="19" customWidth="1"/>
    <col min="3" max="4" width="28" customWidth="1"/>
    <col min="5" max="6" width="19" customWidth="1"/>
    <col min="7" max="7" width="34" customWidth="1"/>
    <col min="8" max="10" width="19" customWidth="1"/>
  </cols>
  <sheetData>
    <row r="1" spans="1:26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9" t="s">
        <v>63</v>
      </c>
      <c r="B2" s="9" t="s">
        <v>64</v>
      </c>
      <c r="C2" s="9" t="s">
        <v>65</v>
      </c>
      <c r="D2" s="9" t="s">
        <v>66</v>
      </c>
      <c r="E2" s="12">
        <v>8</v>
      </c>
      <c r="F2" s="9" t="s">
        <v>67</v>
      </c>
      <c r="G2" s="9" t="s">
        <v>68</v>
      </c>
      <c r="H2" s="9" t="s">
        <v>69</v>
      </c>
      <c r="I2" s="9" t="s">
        <v>70</v>
      </c>
      <c r="J2" s="9" t="s">
        <v>26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9" t="s">
        <v>71</v>
      </c>
      <c r="B3" s="9" t="s">
        <v>72</v>
      </c>
      <c r="C3" s="9" t="s">
        <v>73</v>
      </c>
      <c r="D3" s="9" t="s">
        <v>74</v>
      </c>
      <c r="E3" s="12">
        <v>7</v>
      </c>
      <c r="F3" s="9" t="s">
        <v>75</v>
      </c>
      <c r="G3" s="9" t="s">
        <v>76</v>
      </c>
      <c r="H3" s="9" t="s">
        <v>77</v>
      </c>
      <c r="I3" s="9" t="s">
        <v>70</v>
      </c>
      <c r="J3" s="9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9" t="s">
        <v>78</v>
      </c>
      <c r="B4" s="9" t="s">
        <v>79</v>
      </c>
      <c r="C4" s="9" t="s">
        <v>80</v>
      </c>
      <c r="D4" s="9" t="s">
        <v>81</v>
      </c>
      <c r="E4" s="12">
        <v>4</v>
      </c>
      <c r="F4" s="9" t="s">
        <v>82</v>
      </c>
      <c r="G4" s="9" t="s">
        <v>83</v>
      </c>
      <c r="H4" s="9" t="s">
        <v>84</v>
      </c>
      <c r="I4" s="9" t="s">
        <v>85</v>
      </c>
      <c r="J4" s="9" t="s">
        <v>25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9" t="s">
        <v>86</v>
      </c>
      <c r="B5" s="9" t="s">
        <v>87</v>
      </c>
      <c r="C5" s="9" t="s">
        <v>88</v>
      </c>
      <c r="D5" s="9" t="s">
        <v>89</v>
      </c>
      <c r="E5" s="12">
        <v>6</v>
      </c>
      <c r="F5" s="9" t="s">
        <v>90</v>
      </c>
      <c r="G5" s="9" t="s">
        <v>91</v>
      </c>
      <c r="H5" s="9" t="s">
        <v>92</v>
      </c>
      <c r="I5" s="9" t="s">
        <v>70</v>
      </c>
      <c r="J5" s="9" t="s">
        <v>26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9" t="s">
        <v>93</v>
      </c>
      <c r="B6" s="9" t="s">
        <v>19</v>
      </c>
      <c r="C6" s="9" t="s">
        <v>94</v>
      </c>
      <c r="D6" s="9" t="s">
        <v>95</v>
      </c>
      <c r="E6" s="12">
        <v>5</v>
      </c>
      <c r="F6" s="9" t="s">
        <v>96</v>
      </c>
      <c r="G6" s="9" t="s">
        <v>97</v>
      </c>
      <c r="H6" s="9" t="s">
        <v>98</v>
      </c>
      <c r="I6" s="9" t="s">
        <v>99</v>
      </c>
      <c r="J6" s="9" t="s">
        <v>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9" t="s">
        <v>100</v>
      </c>
      <c r="B7" s="9" t="s">
        <v>101</v>
      </c>
      <c r="C7" s="9" t="s">
        <v>102</v>
      </c>
      <c r="D7" s="9" t="s">
        <v>103</v>
      </c>
      <c r="E7" s="12">
        <v>5</v>
      </c>
      <c r="F7" s="9" t="s">
        <v>104</v>
      </c>
      <c r="G7" s="9" t="s">
        <v>105</v>
      </c>
      <c r="H7" s="9" t="s">
        <v>106</v>
      </c>
      <c r="I7" s="9" t="s">
        <v>85</v>
      </c>
      <c r="J7" s="9" t="s">
        <v>27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'Validation Lists'!$B$2:$B$5</xm:f>
          </x14:formula1>
          <xm:sqref>I2:I200</xm:sqref>
        </x14:dataValidation>
        <x14:dataValidation type="list" xr:uid="{00000000-0002-0000-0200-000001000000}">
          <x14:formula1>
            <xm:f>'Validation Lists'!$A$2:$A$7</xm:f>
          </x14:formula1>
          <xm:sqref>J2:J200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8"/>
  <cols>
    <col min="1" max="1" width="19" customWidth="1"/>
    <col min="2" max="2" width="34" customWidth="1"/>
    <col min="3" max="9" width="19" customWidth="1"/>
    <col min="10" max="11" width="34" customWidth="1"/>
  </cols>
  <sheetData>
    <row r="1" spans="1:26">
      <c r="A1" s="2" t="s">
        <v>107</v>
      </c>
      <c r="B1" s="2" t="s">
        <v>108</v>
      </c>
      <c r="C1" s="2" t="s">
        <v>29</v>
      </c>
      <c r="D1" s="2" t="s">
        <v>60</v>
      </c>
      <c r="E1" s="2" t="s">
        <v>109</v>
      </c>
      <c r="F1" s="2" t="s">
        <v>110</v>
      </c>
      <c r="G1" s="2" t="s">
        <v>61</v>
      </c>
      <c r="H1" s="2" t="s">
        <v>62</v>
      </c>
      <c r="I1" s="2" t="s">
        <v>111</v>
      </c>
      <c r="J1" s="2" t="s">
        <v>112</v>
      </c>
      <c r="K1" s="2" t="s">
        <v>113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9" t="s">
        <v>114</v>
      </c>
      <c r="B2" s="9" t="s">
        <v>115</v>
      </c>
      <c r="C2" s="9" t="s">
        <v>37</v>
      </c>
      <c r="D2" s="9" t="s">
        <v>69</v>
      </c>
      <c r="E2" s="13">
        <v>46188</v>
      </c>
      <c r="F2" s="13">
        <v>46203</v>
      </c>
      <c r="G2" s="9" t="s">
        <v>70</v>
      </c>
      <c r="H2" s="9" t="s">
        <v>26</v>
      </c>
      <c r="I2" s="11">
        <v>55</v>
      </c>
      <c r="J2" s="9" t="s">
        <v>116</v>
      </c>
      <c r="K2" s="9" t="s">
        <v>117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9" t="s">
        <v>118</v>
      </c>
      <c r="B3" s="9" t="s">
        <v>119</v>
      </c>
      <c r="C3" s="9" t="s">
        <v>42</v>
      </c>
      <c r="D3" s="9" t="s">
        <v>98</v>
      </c>
      <c r="E3" s="13">
        <v>46188</v>
      </c>
      <c r="F3" s="13">
        <v>46218</v>
      </c>
      <c r="G3" s="9" t="s">
        <v>99</v>
      </c>
      <c r="H3" s="9" t="s">
        <v>25</v>
      </c>
      <c r="I3" s="11">
        <v>15</v>
      </c>
      <c r="J3" s="9" t="s">
        <v>120</v>
      </c>
      <c r="K3" s="9" t="s">
        <v>121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9" t="s">
        <v>122</v>
      </c>
      <c r="B4" s="9" t="s">
        <v>123</v>
      </c>
      <c r="C4" s="9" t="s">
        <v>46</v>
      </c>
      <c r="D4" s="9" t="s">
        <v>77</v>
      </c>
      <c r="E4" s="13">
        <v>46193</v>
      </c>
      <c r="F4" s="13">
        <v>46208</v>
      </c>
      <c r="G4" s="9" t="s">
        <v>70</v>
      </c>
      <c r="H4" s="9" t="s">
        <v>26</v>
      </c>
      <c r="I4" s="11">
        <v>45</v>
      </c>
      <c r="J4" s="9" t="s">
        <v>124</v>
      </c>
      <c r="K4" s="9" t="s">
        <v>125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9" t="s">
        <v>126</v>
      </c>
      <c r="B5" s="9" t="s">
        <v>127</v>
      </c>
      <c r="C5" s="9" t="s">
        <v>44</v>
      </c>
      <c r="D5" s="9" t="s">
        <v>84</v>
      </c>
      <c r="E5" s="13">
        <v>46193</v>
      </c>
      <c r="F5" s="13">
        <v>46213</v>
      </c>
      <c r="G5" s="9" t="s">
        <v>85</v>
      </c>
      <c r="H5" s="9" t="s">
        <v>25</v>
      </c>
      <c r="I5" s="11">
        <v>20</v>
      </c>
      <c r="J5" s="9" t="s">
        <v>128</v>
      </c>
      <c r="K5" s="9" t="s">
        <v>129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9" t="s">
        <v>130</v>
      </c>
      <c r="B6" s="9" t="s">
        <v>131</v>
      </c>
      <c r="C6" s="9" t="s">
        <v>132</v>
      </c>
      <c r="D6" s="9" t="s">
        <v>92</v>
      </c>
      <c r="E6" s="13">
        <v>46190</v>
      </c>
      <c r="F6" s="13">
        <v>46197</v>
      </c>
      <c r="G6" s="9" t="s">
        <v>85</v>
      </c>
      <c r="H6" s="9" t="s">
        <v>27</v>
      </c>
      <c r="I6" s="11">
        <v>100</v>
      </c>
      <c r="J6" s="9" t="s">
        <v>133</v>
      </c>
      <c r="K6" s="9" t="s">
        <v>134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9" t="s">
        <v>135</v>
      </c>
      <c r="B7" s="9" t="s">
        <v>136</v>
      </c>
      <c r="C7" s="9" t="s">
        <v>132</v>
      </c>
      <c r="D7" s="9" t="s">
        <v>106</v>
      </c>
      <c r="E7" s="13">
        <v>46198</v>
      </c>
      <c r="F7" s="13">
        <v>46223</v>
      </c>
      <c r="G7" s="9" t="s">
        <v>70</v>
      </c>
      <c r="H7" s="9" t="s">
        <v>26</v>
      </c>
      <c r="I7" s="11">
        <v>35</v>
      </c>
      <c r="J7" s="9" t="s">
        <v>137</v>
      </c>
      <c r="K7" s="9" t="s">
        <v>138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I2:I200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{F9512334-F9CC-44F4-699E-4958E946B656}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512334-F9CC-44F4-699E-4958E946B656}">
            <x14:dataBar>
              <x14:cfvo type="min"/>
              <x14:cfvo type="max"/>
              <x14:negativeFillColor auto="1"/>
              <x14:axisColor auto="1"/>
            </x14:dataBar>
          </x14:cfRule>
          <xm:sqref>I2:I200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'Validation Lists'!$D$2:$D$7</xm:f>
          </x14:formula1>
          <xm:sqref>C2:C200</xm:sqref>
        </x14:dataValidation>
        <x14:dataValidation type="list" xr:uid="{00000000-0002-0000-0300-000001000000}">
          <x14:formula1>
            <xm:f>'Validation Lists'!$B$2:$B$5</xm:f>
          </x14:formula1>
          <xm:sqref>G2:G200</xm:sqref>
        </x14:dataValidation>
        <x14:dataValidation type="list" xr:uid="{00000000-0002-0000-0300-000002000000}">
          <x14:formula1>
            <xm:f>'Validation Lists'!$A$2:$A$7</xm:f>
          </x14:formula1>
          <xm:sqref>H2:H200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activeCell="C16" sqref="C16"/>
    </sheetView>
  </sheetViews>
  <sheetFormatPr defaultRowHeight="13.8"/>
  <cols>
    <col min="1" max="1" width="34" customWidth="1"/>
    <col min="2" max="3" width="16" customWidth="1"/>
    <col min="4" max="4" width="36" customWidth="1"/>
  </cols>
  <sheetData>
    <row r="1" spans="1:26">
      <c r="A1" s="2" t="s">
        <v>139</v>
      </c>
      <c r="B1" s="2" t="s">
        <v>140</v>
      </c>
      <c r="C1" s="2" t="s">
        <v>32</v>
      </c>
      <c r="D1" s="2" t="s">
        <v>141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 t="s">
        <v>142</v>
      </c>
      <c r="B2" s="10">
        <v>60</v>
      </c>
      <c r="C2" s="9" t="s">
        <v>143</v>
      </c>
      <c r="D2" s="9" t="s">
        <v>144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9" t="s">
        <v>145</v>
      </c>
      <c r="B3" s="10">
        <v>22</v>
      </c>
      <c r="C3" s="9" t="s">
        <v>146</v>
      </c>
      <c r="D3" s="9" t="s">
        <v>144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9" t="s">
        <v>147</v>
      </c>
      <c r="B4" s="10">
        <f>'Efficiency Data'!C2-'Efficiency Data'!D2</f>
        <v>8</v>
      </c>
      <c r="C4" s="9" t="s">
        <v>39</v>
      </c>
      <c r="D4" s="9" t="s">
        <v>148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9" t="s">
        <v>13</v>
      </c>
      <c r="B5" s="10">
        <f>B2*B4</f>
        <v>480</v>
      </c>
      <c r="C5" s="9" t="s">
        <v>39</v>
      </c>
      <c r="D5" s="9" t="s">
        <v>149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9" t="s">
        <v>150</v>
      </c>
      <c r="B6" s="10">
        <f>(B5*B3)/60</f>
        <v>176</v>
      </c>
      <c r="C6" s="9" t="s">
        <v>151</v>
      </c>
      <c r="D6" s="9" t="s">
        <v>152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 t="s">
        <v>153</v>
      </c>
      <c r="B7" s="10">
        <v>45</v>
      </c>
      <c r="C7" s="9" t="s">
        <v>154</v>
      </c>
      <c r="D7" s="9" t="s">
        <v>144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9" t="s">
        <v>155</v>
      </c>
      <c r="B8" s="10">
        <f>B6*B7</f>
        <v>7920</v>
      </c>
      <c r="C8" s="9" t="s">
        <v>154</v>
      </c>
      <c r="D8" s="9" t="s">
        <v>156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 t="s">
        <v>157</v>
      </c>
      <c r="B9" s="10">
        <f>'Efficiency Data'!C3-'Efficiency Data'!D3</f>
        <v>15</v>
      </c>
      <c r="C9" s="9" t="s">
        <v>39</v>
      </c>
      <c r="D9" s="9" t="s">
        <v>158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9" t="s">
        <v>159</v>
      </c>
      <c r="B10" s="10">
        <f>B2*B9</f>
        <v>900</v>
      </c>
      <c r="C10" s="9" t="s">
        <v>39</v>
      </c>
      <c r="D10" s="9" t="s">
        <v>160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3.8"/>
  <cols>
    <col min="1" max="1" width="30" customWidth="1"/>
    <col min="2" max="4" width="14" customWidth="1"/>
    <col min="5" max="8" width="22" customWidth="1"/>
  </cols>
  <sheetData>
    <row r="1" spans="1:26">
      <c r="A1" s="2" t="s">
        <v>161</v>
      </c>
      <c r="B1" s="2" t="s">
        <v>162</v>
      </c>
      <c r="C1" s="2" t="s">
        <v>4</v>
      </c>
      <c r="D1" s="2" t="s">
        <v>163</v>
      </c>
      <c r="E1" s="2" t="s">
        <v>62</v>
      </c>
      <c r="F1" s="2" t="s">
        <v>60</v>
      </c>
      <c r="G1" s="2" t="s">
        <v>164</v>
      </c>
      <c r="H1" s="2" t="s">
        <v>165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9" t="s">
        <v>38</v>
      </c>
      <c r="B2" s="9">
        <v>18</v>
      </c>
      <c r="C2" s="9">
        <v>10</v>
      </c>
      <c r="D2" s="9">
        <v>14</v>
      </c>
      <c r="E2" s="9" t="str">
        <f t="shared" ref="E2:E7" si="0">IF(OR(A2="Same-day issue resolution",A2="Corrective action closure"),IF(D2&gt;=C2,"On Track","Needs Action"),IF(D2&lt;=C2,"On Track","Needs Action"))</f>
        <v>Needs Action</v>
      </c>
      <c r="F2" s="9" t="s">
        <v>69</v>
      </c>
      <c r="G2" s="9" t="s">
        <v>166</v>
      </c>
      <c r="H2" s="9" t="s">
        <v>167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9" t="s">
        <v>168</v>
      </c>
      <c r="B3" s="9">
        <v>35</v>
      </c>
      <c r="C3" s="9">
        <v>20</v>
      </c>
      <c r="D3" s="9">
        <v>27</v>
      </c>
      <c r="E3" s="9" t="str">
        <f t="shared" si="0"/>
        <v>Needs Action</v>
      </c>
      <c r="F3" s="9" t="s">
        <v>98</v>
      </c>
      <c r="G3" s="9" t="s">
        <v>166</v>
      </c>
      <c r="H3" s="9" t="s">
        <v>167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9" t="s">
        <v>43</v>
      </c>
      <c r="B4" s="9">
        <v>25</v>
      </c>
      <c r="C4" s="9">
        <v>12</v>
      </c>
      <c r="D4" s="9">
        <v>18</v>
      </c>
      <c r="E4" s="9" t="str">
        <f t="shared" si="0"/>
        <v>Needs Action</v>
      </c>
      <c r="F4" s="9" t="s">
        <v>92</v>
      </c>
      <c r="G4" s="9" t="s">
        <v>166</v>
      </c>
      <c r="H4" s="9" t="s">
        <v>167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9" t="s">
        <v>49</v>
      </c>
      <c r="B5" s="9">
        <v>8</v>
      </c>
      <c r="C5" s="9">
        <v>3</v>
      </c>
      <c r="D5" s="9">
        <v>5</v>
      </c>
      <c r="E5" s="9" t="str">
        <f t="shared" si="0"/>
        <v>Needs Action</v>
      </c>
      <c r="F5" s="9" t="s">
        <v>84</v>
      </c>
      <c r="G5" s="9" t="s">
        <v>169</v>
      </c>
      <c r="H5" s="9" t="s">
        <v>167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1.4">
      <c r="A6" s="9" t="s">
        <v>52</v>
      </c>
      <c r="B6" s="9">
        <v>70</v>
      </c>
      <c r="C6" s="9">
        <v>90</v>
      </c>
      <c r="D6" s="9">
        <v>82</v>
      </c>
      <c r="E6" s="9" t="str">
        <f t="shared" si="0"/>
        <v>Needs Action</v>
      </c>
      <c r="F6" s="9" t="s">
        <v>106</v>
      </c>
      <c r="G6" s="9" t="s">
        <v>166</v>
      </c>
      <c r="H6" s="9" t="s">
        <v>170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9" t="s">
        <v>171</v>
      </c>
      <c r="B7" s="9">
        <v>75</v>
      </c>
      <c r="C7" s="9">
        <v>90</v>
      </c>
      <c r="D7" s="9">
        <v>84</v>
      </c>
      <c r="E7" s="9" t="str">
        <f t="shared" si="0"/>
        <v>Needs Action</v>
      </c>
      <c r="F7" s="9" t="s">
        <v>106</v>
      </c>
      <c r="G7" s="9" t="s">
        <v>169</v>
      </c>
      <c r="H7" s="9" t="s">
        <v>170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3.8"/>
  <cols>
    <col min="1" max="1" width="19" customWidth="1"/>
    <col min="2" max="3" width="36" customWidth="1"/>
    <col min="5" max="5" width="20" customWidth="1"/>
    <col min="6" max="7" width="36" customWidth="1"/>
  </cols>
  <sheetData>
    <row r="1" spans="1:26" ht="27.6">
      <c r="A1" s="2" t="s">
        <v>172</v>
      </c>
      <c r="B1" s="2" t="s">
        <v>173</v>
      </c>
      <c r="C1" s="2" t="s">
        <v>174</v>
      </c>
      <c r="D1" s="1"/>
      <c r="E1" s="2" t="s">
        <v>175</v>
      </c>
      <c r="F1" s="2" t="s">
        <v>173</v>
      </c>
      <c r="G1" s="2" t="s">
        <v>176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>
        <v>1</v>
      </c>
      <c r="B2" s="9" t="s">
        <v>177</v>
      </c>
      <c r="C2" s="9" t="s">
        <v>178</v>
      </c>
      <c r="D2" s="1"/>
      <c r="E2" s="9">
        <v>1</v>
      </c>
      <c r="F2" s="9" t="s">
        <v>179</v>
      </c>
      <c r="G2" s="9" t="s">
        <v>180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9">
        <v>2</v>
      </c>
      <c r="B3" s="9" t="s">
        <v>181</v>
      </c>
      <c r="C3" s="9" t="s">
        <v>182</v>
      </c>
      <c r="D3" s="1"/>
      <c r="E3" s="9">
        <v>2</v>
      </c>
      <c r="F3" s="9" t="s">
        <v>183</v>
      </c>
      <c r="G3" s="9" t="s">
        <v>184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9">
        <v>3</v>
      </c>
      <c r="B4" s="9" t="s">
        <v>185</v>
      </c>
      <c r="C4" s="9" t="s">
        <v>186</v>
      </c>
      <c r="D4" s="1"/>
      <c r="E4" s="9">
        <v>3</v>
      </c>
      <c r="F4" s="9" t="s">
        <v>187</v>
      </c>
      <c r="G4" s="9" t="s">
        <v>188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9">
        <v>4</v>
      </c>
      <c r="B5" s="9" t="s">
        <v>189</v>
      </c>
      <c r="C5" s="9" t="s">
        <v>190</v>
      </c>
      <c r="D5" s="1"/>
      <c r="E5" s="9">
        <v>4</v>
      </c>
      <c r="F5" s="9" t="s">
        <v>191</v>
      </c>
      <c r="G5" s="9" t="s">
        <v>192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9">
        <v>5</v>
      </c>
      <c r="B6" s="9" t="s">
        <v>193</v>
      </c>
      <c r="C6" s="9" t="s">
        <v>194</v>
      </c>
      <c r="D6" s="1"/>
      <c r="E6" s="9">
        <v>5</v>
      </c>
      <c r="F6" s="9" t="s">
        <v>195</v>
      </c>
      <c r="G6" s="9" t="s">
        <v>196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>
        <v>6</v>
      </c>
      <c r="B7" s="9" t="s">
        <v>197</v>
      </c>
      <c r="C7" s="9" t="s">
        <v>198</v>
      </c>
      <c r="D7" s="1"/>
      <c r="E7" s="9">
        <v>6</v>
      </c>
      <c r="F7" s="9" t="s">
        <v>199</v>
      </c>
      <c r="G7" s="9" t="s">
        <v>200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>
        <v>7</v>
      </c>
      <c r="B8" s="9" t="s">
        <v>201</v>
      </c>
      <c r="C8" s="9" t="s">
        <v>202</v>
      </c>
      <c r="D8" s="1"/>
      <c r="E8" s="9">
        <v>7</v>
      </c>
      <c r="F8" s="9" t="s">
        <v>203</v>
      </c>
      <c r="G8" s="9" t="s">
        <v>204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>
        <v>8</v>
      </c>
      <c r="B9" s="9" t="s">
        <v>205</v>
      </c>
      <c r="C9" s="9" t="s">
        <v>206</v>
      </c>
      <c r="D9" s="1"/>
      <c r="E9" s="9">
        <v>8</v>
      </c>
      <c r="F9" s="9" t="s">
        <v>207</v>
      </c>
      <c r="G9" s="9" t="s">
        <v>208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3.8"/>
  <cols>
    <col min="1" max="5" width="24" customWidth="1"/>
  </cols>
  <sheetData>
    <row r="1" spans="1:26">
      <c r="A1" s="2" t="s">
        <v>62</v>
      </c>
      <c r="B1" s="2" t="s">
        <v>61</v>
      </c>
      <c r="C1" s="2" t="s">
        <v>60</v>
      </c>
      <c r="D1" s="2" t="s">
        <v>29</v>
      </c>
      <c r="E1" s="2" t="s">
        <v>209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25</v>
      </c>
      <c r="B2" s="1" t="s">
        <v>210</v>
      </c>
      <c r="C2" s="1" t="s">
        <v>69</v>
      </c>
      <c r="D2" s="1" t="s">
        <v>37</v>
      </c>
      <c r="E2" s="1" t="s">
        <v>210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26</v>
      </c>
      <c r="B3" s="1" t="s">
        <v>85</v>
      </c>
      <c r="C3" s="1" t="s">
        <v>84</v>
      </c>
      <c r="D3" s="1" t="s">
        <v>42</v>
      </c>
      <c r="E3" s="1" t="s">
        <v>85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27</v>
      </c>
      <c r="B4" s="1" t="s">
        <v>70</v>
      </c>
      <c r="C4" s="1" t="s">
        <v>77</v>
      </c>
      <c r="D4" s="1" t="s">
        <v>46</v>
      </c>
      <c r="E4" s="1" t="s">
        <v>70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211</v>
      </c>
      <c r="B5" s="1" t="s">
        <v>99</v>
      </c>
      <c r="C5" s="1" t="s">
        <v>92</v>
      </c>
      <c r="D5" s="1" t="s">
        <v>44</v>
      </c>
      <c r="E5" s="1" t="s">
        <v>99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212</v>
      </c>
      <c r="B6" s="1"/>
      <c r="C6" s="1" t="s">
        <v>98</v>
      </c>
      <c r="D6" s="1" t="s">
        <v>132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213</v>
      </c>
      <c r="B7" s="1"/>
      <c r="C7" s="1" t="s">
        <v>106</v>
      </c>
      <c r="D7" s="1" t="s">
        <v>214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Efficiency Data</vt:lpstr>
      <vt:lpstr>Bottleneck Analysis</vt:lpstr>
      <vt:lpstr>Improvement Tracker</vt:lpstr>
      <vt:lpstr>Time Savings Calculator</vt:lpstr>
      <vt:lpstr>KPI Tracker</vt:lpstr>
      <vt:lpstr>Workflow Map</vt:lpstr>
      <vt:lpstr>Validation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2026-06-12T09:39:33Z</dcterms:modified>
</cp:coreProperties>
</file>