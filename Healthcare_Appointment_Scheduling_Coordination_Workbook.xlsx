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13_ncr:1_{D6F7BAD1-E97D-4B38-8E5F-69C6A0C46C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Appointment Scheduler" sheetId="2" r:id="rId2"/>
    <sheet name="Staff Schedule" sheetId="3" r:id="rId3"/>
    <sheet name="Department Calendar" sheetId="4" r:id="rId4"/>
    <sheet name="Change Tracker" sheetId="5" r:id="rId5"/>
    <sheet name="Waitlist Urgent Slots" sheetId="6" r:id="rId6"/>
    <sheet name="Communication Log" sheetId="7" r:id="rId7"/>
    <sheet name="Conflict Register" sheetId="8" r:id="rId8"/>
    <sheet name="Process Flow" sheetId="9" r:id="rId9"/>
    <sheet name="Validation List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4" l="1"/>
  <c r="G13" i="4" s="1"/>
  <c r="F12" i="4"/>
  <c r="G12" i="4" s="1"/>
  <c r="F11" i="4"/>
  <c r="G11" i="4" s="1"/>
  <c r="F10" i="4"/>
  <c r="G10" i="4" s="1"/>
  <c r="F9" i="4"/>
  <c r="G9" i="4" s="1"/>
  <c r="F8" i="4"/>
  <c r="G8" i="4" s="1"/>
  <c r="F7" i="4"/>
  <c r="G7" i="4" s="1"/>
  <c r="H13" i="1" s="1"/>
  <c r="F6" i="4"/>
  <c r="G6" i="4" s="1"/>
  <c r="H12" i="1" s="1"/>
  <c r="F5" i="4"/>
  <c r="G5" i="4" s="1"/>
  <c r="H11" i="1" s="1"/>
  <c r="F4" i="4"/>
  <c r="G4" i="4" s="1"/>
  <c r="H10" i="1" s="1"/>
  <c r="F3" i="4"/>
  <c r="G3" i="4" s="1"/>
  <c r="H9" i="1" s="1"/>
  <c r="F2" i="4"/>
  <c r="G2" i="4" s="1"/>
  <c r="H8" i="1" s="1"/>
  <c r="I11" i="3"/>
  <c r="J11" i="3" s="1"/>
  <c r="K11" i="3" s="1"/>
  <c r="I10" i="3"/>
  <c r="J10" i="3" s="1"/>
  <c r="K10" i="3" s="1"/>
  <c r="I9" i="3"/>
  <c r="J9" i="3" s="1"/>
  <c r="K9" i="3" s="1"/>
  <c r="I8" i="3"/>
  <c r="J8" i="3" s="1"/>
  <c r="K8" i="3" s="1"/>
  <c r="I7" i="3"/>
  <c r="J7" i="3" s="1"/>
  <c r="K7" i="3" s="1"/>
  <c r="I6" i="3"/>
  <c r="J6" i="3" s="1"/>
  <c r="K6" i="3" s="1"/>
  <c r="I5" i="3"/>
  <c r="J5" i="3" s="1"/>
  <c r="K5" i="3" s="1"/>
  <c r="I4" i="3"/>
  <c r="J4" i="3" s="1"/>
  <c r="K4" i="3" s="1"/>
  <c r="I3" i="3"/>
  <c r="J3" i="3" s="1"/>
  <c r="K3" i="3" s="1"/>
  <c r="I2" i="3"/>
  <c r="J2" i="3" s="1"/>
  <c r="K2" i="3" s="1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G13" i="1"/>
  <c r="F13" i="1"/>
  <c r="E13" i="1"/>
  <c r="B13" i="1"/>
  <c r="G12" i="1"/>
  <c r="F12" i="1"/>
  <c r="E12" i="1"/>
  <c r="B12" i="1"/>
  <c r="G11" i="1"/>
  <c r="F11" i="1"/>
  <c r="E11" i="1"/>
  <c r="B11" i="1"/>
  <c r="G10" i="1"/>
  <c r="F10" i="1"/>
  <c r="E10" i="1"/>
  <c r="B10" i="1"/>
  <c r="G9" i="1"/>
  <c r="F9" i="1"/>
  <c r="E9" i="1"/>
  <c r="B9" i="1"/>
  <c r="G8" i="1"/>
  <c r="F8" i="1"/>
  <c r="E8" i="1"/>
  <c r="B8" i="1"/>
  <c r="H5" i="1"/>
  <c r="G5" i="1"/>
  <c r="F5" i="1"/>
  <c r="E5" i="1"/>
  <c r="D5" i="1"/>
  <c r="C5" i="1"/>
  <c r="B5" i="1"/>
  <c r="A5" i="1"/>
</calcChain>
</file>

<file path=xl/sharedStrings.xml><?xml version="1.0" encoding="utf-8"?>
<sst xmlns="http://schemas.openxmlformats.org/spreadsheetml/2006/main" count="741" uniqueCount="385">
  <si>
    <t>Healthcare Appointment Scheduling Dashboard</t>
  </si>
  <si>
    <t>Outpatient clinic coordination view for appointments, staff capacity, urgent changes, and communication follow-up</t>
  </si>
  <si>
    <t>Total Appointments</t>
  </si>
  <si>
    <t>Scheduled</t>
  </si>
  <si>
    <t>Completed</t>
  </si>
  <si>
    <t>Cancelled</t>
  </si>
  <si>
    <t>Rescheduled</t>
  </si>
  <si>
    <t>Urgent Cases</t>
  </si>
  <si>
    <t>Average Wait Minutes</t>
  </si>
  <si>
    <t>Open Conflicts</t>
  </si>
  <si>
    <t>Appointment Status</t>
  </si>
  <si>
    <t>Count</t>
  </si>
  <si>
    <t>Department</t>
  </si>
  <si>
    <t>Appointments</t>
  </si>
  <si>
    <t>Urgent</t>
  </si>
  <si>
    <t>Open Slots</t>
  </si>
  <si>
    <t>General Consultation</t>
  </si>
  <si>
    <t>Nursing</t>
  </si>
  <si>
    <t>Radiology</t>
  </si>
  <si>
    <t>Laboratory</t>
  </si>
  <si>
    <t>No Show</t>
  </si>
  <si>
    <t>Billing and Insurance</t>
  </si>
  <si>
    <t>Pending Approval</t>
  </si>
  <si>
    <t>Pharmacy</t>
  </si>
  <si>
    <t>Daily Coordination Priorities</t>
  </si>
  <si>
    <t>No.</t>
  </si>
  <si>
    <t>Priority Action</t>
  </si>
  <si>
    <t>Owner</t>
  </si>
  <si>
    <t>Time Target</t>
  </si>
  <si>
    <t>Status</t>
  </si>
  <si>
    <t>1</t>
  </si>
  <si>
    <t>Review urgent slots before opening</t>
  </si>
  <si>
    <t>Clinic Coordinator</t>
  </si>
  <si>
    <t>Before 08:30</t>
  </si>
  <si>
    <t>Open</t>
  </si>
  <si>
    <t>2</t>
  </si>
  <si>
    <t>Check pending approvals and update patients</t>
  </si>
  <si>
    <t>Billing Coordinator</t>
  </si>
  <si>
    <t>By 10:00</t>
  </si>
  <si>
    <t>3</t>
  </si>
  <si>
    <t>Call waitlist when cancellations are released</t>
  </si>
  <si>
    <t>Front Desk</t>
  </si>
  <si>
    <t>Within 15 minutes</t>
  </si>
  <si>
    <t>Monitoring</t>
  </si>
  <si>
    <t>4</t>
  </si>
  <si>
    <t>Share department schedule changes with leads</t>
  </si>
  <si>
    <t>Admin Coordinator</t>
  </si>
  <si>
    <t>As needed</t>
  </si>
  <si>
    <t>Appointment ID</t>
  </si>
  <si>
    <t>Patient ID</t>
  </si>
  <si>
    <t>Patient Name</t>
  </si>
  <si>
    <t>Staff Assigned</t>
  </si>
  <si>
    <t>Date</t>
  </si>
  <si>
    <t>Start Time</t>
  </si>
  <si>
    <t>End Time</t>
  </si>
  <si>
    <t>Appointment Type</t>
  </si>
  <si>
    <t>Priority</t>
  </si>
  <si>
    <t>Check-In Time</t>
  </si>
  <si>
    <t>Actual Start Time</t>
  </si>
  <si>
    <t>Wait Minutes</t>
  </si>
  <si>
    <t>Room</t>
  </si>
  <si>
    <t>Communication Status</t>
  </si>
  <si>
    <t>Insurance Status</t>
  </si>
  <si>
    <t>Notes</t>
  </si>
  <si>
    <t>APT-001</t>
  </si>
  <si>
    <t>PT-1001</t>
  </si>
  <si>
    <t>Sara Ahmed</t>
  </si>
  <si>
    <t>Dr. Hassan Ali</t>
  </si>
  <si>
    <t>New Visit</t>
  </si>
  <si>
    <t>Normal</t>
  </si>
  <si>
    <t>Room 101</t>
  </si>
  <si>
    <t>Reminder Sent</t>
  </si>
  <si>
    <t>Approved</t>
  </si>
  <si>
    <t>First visit, records verified</t>
  </si>
  <si>
    <t>APT-002</t>
  </si>
  <si>
    <t>PT-1002</t>
  </si>
  <si>
    <t>Mariam Khan</t>
  </si>
  <si>
    <t>Lab Tech Noor</t>
  </si>
  <si>
    <t>Diagnostic</t>
  </si>
  <si>
    <t>Lab 1</t>
  </si>
  <si>
    <t>Blood sample collection</t>
  </si>
  <si>
    <t>APT-003</t>
  </si>
  <si>
    <t>PT-1003</t>
  </si>
  <si>
    <t>Omar Nasser</t>
  </si>
  <si>
    <t>Tech Omar Saeed</t>
  </si>
  <si>
    <t>Radiology 2</t>
  </si>
  <si>
    <t>Patient Notified</t>
  </si>
  <si>
    <t>Priority slot assigned</t>
  </si>
  <si>
    <t>APT-004</t>
  </si>
  <si>
    <t>PT-1004</t>
  </si>
  <si>
    <t>Layla Mansour</t>
  </si>
  <si>
    <t>Nurse Aisha Khan</t>
  </si>
  <si>
    <t>Procedure</t>
  </si>
  <si>
    <t>Room 204</t>
  </si>
  <si>
    <t>Confirmation Sent</t>
  </si>
  <si>
    <t>Not Required</t>
  </si>
  <si>
    <t>Wound dressing</t>
  </si>
  <si>
    <t>APT-005</t>
  </si>
  <si>
    <t>PT-1005</t>
  </si>
  <si>
    <t>Rania Saleh</t>
  </si>
  <si>
    <t>Amina Yusuf</t>
  </si>
  <si>
    <t>Consultation Review</t>
  </si>
  <si>
    <t>Pending</t>
  </si>
  <si>
    <t>Approval under review</t>
  </si>
  <si>
    <t>APT-006</t>
  </si>
  <si>
    <t>PT-1006</t>
  </si>
  <si>
    <t>Hamad Al Zarooni</t>
  </si>
  <si>
    <t>Pharmacist Lina</t>
  </si>
  <si>
    <t>Prescription Review</t>
  </si>
  <si>
    <t>Pharmacy Counter</t>
  </si>
  <si>
    <t>Medication counselling</t>
  </si>
  <si>
    <t>APT-007</t>
  </si>
  <si>
    <t>PT-1007</t>
  </si>
  <si>
    <t>Nour Ibrahim</t>
  </si>
  <si>
    <t>Follow-up</t>
  </si>
  <si>
    <t>Moved to next available slot</t>
  </si>
  <si>
    <t>APT-008</t>
  </si>
  <si>
    <t>PT-1008</t>
  </si>
  <si>
    <t>Yusuf Kareem</t>
  </si>
  <si>
    <t>Same-day test request</t>
  </si>
  <si>
    <t>APT-009</t>
  </si>
  <si>
    <t>PT-1009</t>
  </si>
  <si>
    <t>Fatima Saeed</t>
  </si>
  <si>
    <t>Radiology 1</t>
  </si>
  <si>
    <t>Patient cancellation</t>
  </si>
  <si>
    <t>APT-010</t>
  </si>
  <si>
    <t>PT-1010</t>
  </si>
  <si>
    <t>Zainab Ali</t>
  </si>
  <si>
    <t>Injection appointment</t>
  </si>
  <si>
    <t>APT-011</t>
  </si>
  <si>
    <t>PT-1011</t>
  </si>
  <si>
    <t>Khalid Musa</t>
  </si>
  <si>
    <t>Dr. Farah Nabil</t>
  </si>
  <si>
    <t>Room 102</t>
  </si>
  <si>
    <t>New patient registration complete</t>
  </si>
  <si>
    <t>APT-012</t>
  </si>
  <si>
    <t>PT-1012</t>
  </si>
  <si>
    <t>Aisha Rahman</t>
  </si>
  <si>
    <t>Lab 2</t>
  </si>
  <si>
    <t>Fasting sample</t>
  </si>
  <si>
    <t>APT-013</t>
  </si>
  <si>
    <t>PT-1013</t>
  </si>
  <si>
    <t>Salma Hassan</t>
  </si>
  <si>
    <t>Insurance approval confirmed</t>
  </si>
  <si>
    <t>APT-014</t>
  </si>
  <si>
    <t>PT-1014</t>
  </si>
  <si>
    <t>Ibrahim Tariq</t>
  </si>
  <si>
    <t>Doctor requested urgent scan</t>
  </si>
  <si>
    <t>APT-015</t>
  </si>
  <si>
    <t>PT-1015</t>
  </si>
  <si>
    <t>Mona Adel</t>
  </si>
  <si>
    <t>No arrival by cut-off time</t>
  </si>
  <si>
    <t>APT-016</t>
  </si>
  <si>
    <t>PT-1016</t>
  </si>
  <si>
    <t>Bilal Haddad</t>
  </si>
  <si>
    <t>Room 205</t>
  </si>
  <si>
    <t>Vitals and injection</t>
  </si>
  <si>
    <t>APT-017</t>
  </si>
  <si>
    <t>PT-1017</t>
  </si>
  <si>
    <t>Huda Salem</t>
  </si>
  <si>
    <t>Follow-up review</t>
  </si>
  <si>
    <t>APT-018</t>
  </si>
  <si>
    <t>PT-1018</t>
  </si>
  <si>
    <t>Nadia Abbas</t>
  </si>
  <si>
    <t>Approval pending</t>
  </si>
  <si>
    <t>APT-019</t>
  </si>
  <si>
    <t>PT-1019</t>
  </si>
  <si>
    <t>Tariq Mahdi</t>
  </si>
  <si>
    <t>Ultrasound appointment</t>
  </si>
  <si>
    <t>APT-020</t>
  </si>
  <si>
    <t>PT-1020</t>
  </si>
  <si>
    <t>Reem Yasin</t>
  </si>
  <si>
    <t>Department Notified</t>
  </si>
  <si>
    <t>Same-day approval request</t>
  </si>
  <si>
    <t>Staff ID</t>
  </si>
  <si>
    <t>Staff Name</t>
  </si>
  <si>
    <t>Role</t>
  </si>
  <si>
    <t>Work Date</t>
  </si>
  <si>
    <t>Shift Start</t>
  </si>
  <si>
    <t>Shift End</t>
  </si>
  <si>
    <t>Capacity</t>
  </si>
  <si>
    <t>Booked Appointments</t>
  </si>
  <si>
    <t>Remaining Capacity</t>
  </si>
  <si>
    <t>Availability Status</t>
  </si>
  <si>
    <t>STF-001</t>
  </si>
  <si>
    <t>Physician</t>
  </si>
  <si>
    <t>Morning and afternoon consults</t>
  </si>
  <si>
    <t>STF-002</t>
  </si>
  <si>
    <t>Follow-ups and new visits</t>
  </si>
  <si>
    <t>STF-003</t>
  </si>
  <si>
    <t>Nurse</t>
  </si>
  <si>
    <t>Nursing procedures</t>
  </si>
  <si>
    <t>STF-004</t>
  </si>
  <si>
    <t>Vitals and injections</t>
  </si>
  <si>
    <t>STF-005</t>
  </si>
  <si>
    <t>Radiology Technician</t>
  </si>
  <si>
    <t>Diagnostic imaging</t>
  </si>
  <si>
    <t>STF-006</t>
  </si>
  <si>
    <t>Urgent scan reserve</t>
  </si>
  <si>
    <t>STF-007</t>
  </si>
  <si>
    <t>Lab Technician</t>
  </si>
  <si>
    <t>Sample collection</t>
  </si>
  <si>
    <t>STF-008</t>
  </si>
  <si>
    <t>Sample processing</t>
  </si>
  <si>
    <t>STF-009</t>
  </si>
  <si>
    <t>Coordinator</t>
  </si>
  <si>
    <t>Approvals and billing</t>
  </si>
  <si>
    <t>STF-010</t>
  </si>
  <si>
    <t>Pharmacist</t>
  </si>
  <si>
    <t>Session Block</t>
  </si>
  <si>
    <t>Lead Staff</t>
  </si>
  <si>
    <t>Booked</t>
  </si>
  <si>
    <t>High Priority Slots</t>
  </si>
  <si>
    <t>Coordination Notes</t>
  </si>
  <si>
    <t>Morning and Afternoon</t>
  </si>
  <si>
    <t>Daily schedule reviewed before opening</t>
  </si>
  <si>
    <t>Nursing Lead</t>
  </si>
  <si>
    <t>Radiology Coordinator</t>
  </si>
  <si>
    <t>Lab Supervisor</t>
  </si>
  <si>
    <t>Front Office Lead</t>
  </si>
  <si>
    <t>Pharmacy Lead</t>
  </si>
  <si>
    <t>Change ID</t>
  </si>
  <si>
    <t>Request Type</t>
  </si>
  <si>
    <t>Original Date</t>
  </si>
  <si>
    <t>Original Time</t>
  </si>
  <si>
    <t>New Date</t>
  </si>
  <si>
    <t>New Time</t>
  </si>
  <si>
    <t>Reason</t>
  </si>
  <si>
    <t>Action Taken</t>
  </si>
  <si>
    <t>CHG-001</t>
  </si>
  <si>
    <t>Reschedule</t>
  </si>
  <si>
    <t>Patient requested later slot</t>
  </si>
  <si>
    <t>Moved to available physician slot</t>
  </si>
  <si>
    <t>Yes</t>
  </si>
  <si>
    <t>Resolved</t>
  </si>
  <si>
    <t>CHG-002</t>
  </si>
  <si>
    <t>Cancellation</t>
  </si>
  <si>
    <t>Patient unavailable</t>
  </si>
  <si>
    <t>Slot released to waitlist</t>
  </si>
  <si>
    <t>CHG-003</t>
  </si>
  <si>
    <t>Urgent Change</t>
  </si>
  <si>
    <t>Doctor priority request</t>
  </si>
  <si>
    <t>Urgent imaging slot assigned</t>
  </si>
  <si>
    <t>CHG-004</t>
  </si>
  <si>
    <t>Insurance approval pending</t>
  </si>
  <si>
    <t>New slot held pending approval</t>
  </si>
  <si>
    <t>Waitlist ID</t>
  </si>
  <si>
    <t>Preferred Date</t>
  </si>
  <si>
    <t>Preferred Time</t>
  </si>
  <si>
    <t>Contact Status</t>
  </si>
  <si>
    <t>Offer Status</t>
  </si>
  <si>
    <t>Next Action</t>
  </si>
  <si>
    <t>W-001</t>
  </si>
  <si>
    <t>PT-1031</t>
  </si>
  <si>
    <t>Amal Rashid</t>
  </si>
  <si>
    <t>Reached</t>
  </si>
  <si>
    <t>Slot Offered</t>
  </si>
  <si>
    <t>Confirm attendance</t>
  </si>
  <si>
    <t>Released cancellation slot</t>
  </si>
  <si>
    <t>W-002</t>
  </si>
  <si>
    <t>PT-1032</t>
  </si>
  <si>
    <t>Samir Qasim</t>
  </si>
  <si>
    <t>Waiting</t>
  </si>
  <si>
    <t>Call before 11:00</t>
  </si>
  <si>
    <t>Prefers afternoon</t>
  </si>
  <si>
    <t>W-003</t>
  </si>
  <si>
    <t>PT-1033</t>
  </si>
  <si>
    <t>Hana Fares</t>
  </si>
  <si>
    <t>Accepted</t>
  </si>
  <si>
    <t>Send reminder</t>
  </si>
  <si>
    <t>Fasting test required</t>
  </si>
  <si>
    <t>W-004</t>
  </si>
  <si>
    <t>PT-1034</t>
  </si>
  <si>
    <t>Yara Khalil</t>
  </si>
  <si>
    <t>Review next open slot</t>
  </si>
  <si>
    <t>Procedure appointment</t>
  </si>
  <si>
    <t>Message ID</t>
  </si>
  <si>
    <t>Recipient</t>
  </si>
  <si>
    <t>Channel</t>
  </si>
  <si>
    <t>Trigger</t>
  </si>
  <si>
    <t>Date Sent</t>
  </si>
  <si>
    <t>Time Sent</t>
  </si>
  <si>
    <t>Sent By</t>
  </si>
  <si>
    <t>Delivery Status</t>
  </si>
  <si>
    <t>Follow-up Required</t>
  </si>
  <si>
    <t>MSG-001</t>
  </si>
  <si>
    <t>SMS</t>
  </si>
  <si>
    <t>24-hour reminder</t>
  </si>
  <si>
    <t>Delivered</t>
  </si>
  <si>
    <t>No</t>
  </si>
  <si>
    <t>Reminder sent</t>
  </si>
  <si>
    <t>MSG-002</t>
  </si>
  <si>
    <t>Phone</t>
  </si>
  <si>
    <t>Reschedule confirmation</t>
  </si>
  <si>
    <t>Patient accepted new slot</t>
  </si>
  <si>
    <t>MSG-003</t>
  </si>
  <si>
    <t>Radiology Team</t>
  </si>
  <si>
    <t>Internal Update</t>
  </si>
  <si>
    <t>Urgent appointment alert</t>
  </si>
  <si>
    <t>Confirm imaging room readiness</t>
  </si>
  <si>
    <t>MSG-004</t>
  </si>
  <si>
    <t>Email</t>
  </si>
  <si>
    <t>Approval pending notice</t>
  </si>
  <si>
    <t>Sent</t>
  </si>
  <si>
    <t>Follow up on approval</t>
  </si>
  <si>
    <t>MSG-005</t>
  </si>
  <si>
    <t>Billing Team</t>
  </si>
  <si>
    <t>Urgent approval request</t>
  </si>
  <si>
    <t>Conflict ID</t>
  </si>
  <si>
    <t>Conflict Type</t>
  </si>
  <si>
    <t>Related Appointment</t>
  </si>
  <si>
    <t>Detected By</t>
  </si>
  <si>
    <t>Impact</t>
  </si>
  <si>
    <t>Resolution Rule</t>
  </si>
  <si>
    <t>Escalation Owner</t>
  </si>
  <si>
    <t>Target Resolution Time</t>
  </si>
  <si>
    <t>CON-001</t>
  </si>
  <si>
    <t>Double-booking risk</t>
  </si>
  <si>
    <t>Scheduler check</t>
  </si>
  <si>
    <t>Radiology slot overlap</t>
  </si>
  <si>
    <t>Use urgent slot reserve or move lower priority booking</t>
  </si>
  <si>
    <t>30 minutes</t>
  </si>
  <si>
    <t>Review room availability</t>
  </si>
  <si>
    <t>CON-002</t>
  </si>
  <si>
    <t>Staff unavailable</t>
  </si>
  <si>
    <t>Daily review</t>
  </si>
  <si>
    <t>Physician schedule conflict</t>
  </si>
  <si>
    <t>Reassign to available physician or offer next slot</t>
  </si>
  <si>
    <t>1 hour</t>
  </si>
  <si>
    <t>Patient moved to Dr. Farah</t>
  </si>
  <si>
    <t>CON-003</t>
  </si>
  <si>
    <t>Insurance pending</t>
  </si>
  <si>
    <t>Billing review</t>
  </si>
  <si>
    <t>Appointment may be delayed</t>
  </si>
  <si>
    <t>Hold slot as pending and update patient</t>
  </si>
  <si>
    <t>Same day</t>
  </si>
  <si>
    <t>Awaiting payer response</t>
  </si>
  <si>
    <t>CON-004</t>
  </si>
  <si>
    <t>Front desk</t>
  </si>
  <si>
    <t>Open slot created</t>
  </si>
  <si>
    <t>Offer slot to urgent waitlist first</t>
  </si>
  <si>
    <t>15 minutes</t>
  </si>
  <si>
    <t>Waitlist contacted</t>
  </si>
  <si>
    <t>Step</t>
  </si>
  <si>
    <t>Process Activity</t>
  </si>
  <si>
    <t>Responsible Role</t>
  </si>
  <si>
    <t>Control Point</t>
  </si>
  <si>
    <t>Output</t>
  </si>
  <si>
    <t>Receive appointment request</t>
  </si>
  <si>
    <t>Confirm patient identity</t>
  </si>
  <si>
    <t>Request logged</t>
  </si>
  <si>
    <t>Check patient record and appointment type</t>
  </si>
  <si>
    <t>Verify patient ID and required documents</t>
  </si>
  <si>
    <t>Correct appointment category</t>
  </si>
  <si>
    <t>Select department and staff</t>
  </si>
  <si>
    <t>Match request to department capacity</t>
  </si>
  <si>
    <t>Department selected</t>
  </si>
  <si>
    <t>Check available slot</t>
  </si>
  <si>
    <t>Scheduler Owner</t>
  </si>
  <si>
    <t>Avoid double-booking and capacity conflicts</t>
  </si>
  <si>
    <t>Available time slot</t>
  </si>
  <si>
    <t>Confirm appointment</t>
  </si>
  <si>
    <t>Record date, time, staff, room, and status</t>
  </si>
  <si>
    <t>Confirmation sent</t>
  </si>
  <si>
    <t>Send reminder before visit</t>
  </si>
  <si>
    <t>Patient reminded</t>
  </si>
  <si>
    <t>Coordinate daily schedule</t>
  </si>
  <si>
    <t>Department Leads</t>
  </si>
  <si>
    <t>Review open issues and urgent cases</t>
  </si>
  <si>
    <t>Departments prepared</t>
  </si>
  <si>
    <t>Manage change or cancellation</t>
  </si>
  <si>
    <t>Apply resolution rule and notify parties</t>
  </si>
  <si>
    <t>Updated schedule</t>
  </si>
  <si>
    <t>Update final status</t>
  </si>
  <si>
    <t>Mark completed, no show, cancelled, or rescheduled</t>
  </si>
  <si>
    <t>Accurate record</t>
  </si>
  <si>
    <t>Review dashboard and gaps</t>
  </si>
  <si>
    <t>Check waiting time, capacity, and unresolved conflicts</t>
  </si>
  <si>
    <t>Action plan</t>
  </si>
  <si>
    <t>Resolution Status</t>
  </si>
  <si>
    <t>Self-Pay</t>
  </si>
  <si>
    <t>Escalated</t>
  </si>
  <si>
    <t>Staff Unavailable</t>
  </si>
  <si>
    <t>WhatsApp</t>
  </si>
  <si>
    <t>Department 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</si>
</sst>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name val="Carlito"/>
    </font>
    <font>
      <b/>
      <sz val="11"/>
      <color rgb="FFFFFFFF"/>
      <name val="Carlito"/>
    </font>
    <font>
      <sz val="11"/>
      <color rgb="FF111827"/>
      <name val="Carlito"/>
    </font>
    <font>
      <b/>
      <sz val="16"/>
      <color rgb="FFFFFFFF"/>
      <name val="Carlito"/>
    </font>
    <font>
      <i/>
      <sz val="11"/>
      <color rgb="FF475569"/>
      <name val="Carlito"/>
    </font>
    <font>
      <b/>
      <sz val="14"/>
      <color rgb="FF111827"/>
      <name val="Carlito"/>
    </font>
    <font>
      <b/>
      <sz val="11"/>
      <color rgb="FF111827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134E4A"/>
      </patternFill>
    </fill>
    <fill>
      <patternFill patternType="solid">
        <fgColor rgb="FFECFDF5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164" fontId="0" fillId="0" borderId="0" xfId="0" applyNumberFormat="1"/>
    <xf numFmtId="18" fontId="2" fillId="0" borderId="0" xfId="0" applyNumberFormat="1" applyFont="1" applyAlignment="1">
      <alignment vertical="top" wrapText="1"/>
    </xf>
    <xf numFmtId="18" fontId="0" fillId="0" borderId="0" xfId="0" applyNumberFormat="1"/>
    <xf numFmtId="1" fontId="2" fillId="0" borderId="0" xfId="0" applyNumberFormat="1" applyFont="1" applyAlignment="1">
      <alignment vertical="top" wrapText="1"/>
    </xf>
    <xf numFmtId="1" fontId="0" fillId="0" borderId="0" xfId="0" applyNumberFormat="1"/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left" vertical="center" wrapText="1"/>
    </xf>
  </cellXfs>
  <cellStyles count="1">
    <cellStyle name="Normal" xfId="0" builtinId="0"/>
  </cellStyles>
  <dxfs count="8">
    <dxf>
      <font>
        <b/>
      </font>
      <fill>
        <patternFill patternType="solid">
          <bgColor rgb="FFFDE68A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ont>
        <b/>
      </font>
      <fill>
        <patternFill patternType="solid">
          <bgColor rgb="FFFDE68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Status Count</c:v>
          </c:tx>
          <c:invertIfNegative val="1"/>
          <c:cat>
            <c:strRef>
              <c:f>Dashboard!$A$8:$A$13</c:f>
              <c:strCache>
                <c:ptCount val="6"/>
                <c:pt idx="0">
                  <c:v>Scheduled</c:v>
                </c:pt>
                <c:pt idx="1">
                  <c:v>Completed</c:v>
                </c:pt>
                <c:pt idx="2">
                  <c:v>Cancelled</c:v>
                </c:pt>
                <c:pt idx="3">
                  <c:v>Rescheduled</c:v>
                </c:pt>
                <c:pt idx="4">
                  <c:v>No Show</c:v>
                </c:pt>
                <c:pt idx="5">
                  <c:v>Pending Approval</c:v>
                </c:pt>
              </c:strCache>
            </c:strRef>
          </c:cat>
          <c:val>
            <c:numRef>
              <c:f>Dashboard!$B$8:$B$13</c:f>
              <c:numCache>
                <c:formatCode>General</c:formatCode>
                <c:ptCount val="6"/>
                <c:pt idx="0">
                  <c:v>8</c:v>
                </c:pt>
                <c:pt idx="1">
                  <c:v>7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4-4FBD-992B-DDB60C9DC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Department Count</c:v>
          </c:tx>
          <c:invertIfNegative val="1"/>
          <c:cat>
            <c:strRef>
              <c:f>Dashboard!$D$8:$D$13</c:f>
              <c:strCache>
                <c:ptCount val="6"/>
                <c:pt idx="0">
                  <c:v>General Consultation</c:v>
                </c:pt>
                <c:pt idx="1">
                  <c:v>Nursing</c:v>
                </c:pt>
                <c:pt idx="2">
                  <c:v>Radiology</c:v>
                </c:pt>
                <c:pt idx="3">
                  <c:v>Laboratory</c:v>
                </c:pt>
                <c:pt idx="4">
                  <c:v>Billing and Insurance</c:v>
                </c:pt>
                <c:pt idx="5">
                  <c:v>Pharmacy</c:v>
                </c:pt>
              </c:strCache>
            </c:strRef>
          </c:cat>
          <c:val>
            <c:numRef>
              <c:f>Dashboard!$E$8:$E$13</c:f>
              <c:numCache>
                <c:formatCode>General</c:formatCode>
                <c:ptCount val="6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81-42DB-85FB-A328DDFC3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pointmentSchedulerTable" displayName="AppointmentSchedulerTable" ref="A1:R200">
  <tableColumns count="18">
    <tableColumn id="1" xr3:uid="{00000000-0010-0000-0000-000001000000}" name="Appointment ID"/>
    <tableColumn id="2" xr3:uid="{00000000-0010-0000-0000-000002000000}" name="Patient ID"/>
    <tableColumn id="3" xr3:uid="{00000000-0010-0000-0000-000003000000}" name="Patient Name"/>
    <tableColumn id="4" xr3:uid="{00000000-0010-0000-0000-000004000000}" name="Department"/>
    <tableColumn id="5" xr3:uid="{00000000-0010-0000-0000-000005000000}" name="Staff Assigned"/>
    <tableColumn id="6" xr3:uid="{00000000-0010-0000-0000-000006000000}" name="Date"/>
    <tableColumn id="7" xr3:uid="{00000000-0010-0000-0000-000007000000}" name="Start Time"/>
    <tableColumn id="8" xr3:uid="{00000000-0010-0000-0000-000008000000}" name="End Time"/>
    <tableColumn id="9" xr3:uid="{00000000-0010-0000-0000-000009000000}" name="Appointment Type"/>
    <tableColumn id="10" xr3:uid="{00000000-0010-0000-0000-00000A000000}" name="Priority"/>
    <tableColumn id="11" xr3:uid="{00000000-0010-0000-0000-00000B000000}" name="Status"/>
    <tableColumn id="12" xr3:uid="{00000000-0010-0000-0000-00000C000000}" name="Check-In Time"/>
    <tableColumn id="13" xr3:uid="{00000000-0010-0000-0000-00000D000000}" name="Actual Start Time"/>
    <tableColumn id="14" xr3:uid="{00000000-0010-0000-0000-00000E000000}" name="Wait Minutes"/>
    <tableColumn id="15" xr3:uid="{00000000-0010-0000-0000-00000F000000}" name="Room"/>
    <tableColumn id="16" xr3:uid="{00000000-0010-0000-0000-000010000000}" name="Communication Status"/>
    <tableColumn id="17" xr3:uid="{00000000-0010-0000-0000-000011000000}" name="Insurance Status"/>
    <tableColumn id="18" xr3:uid="{00000000-0010-0000-0000-000012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ffScheduleTable" displayName="StaffScheduleTable" ref="A1:L50">
  <tableColumns count="12">
    <tableColumn id="1" xr3:uid="{00000000-0010-0000-0100-000001000000}" name="Staff ID"/>
    <tableColumn id="2" xr3:uid="{00000000-0010-0000-0100-000002000000}" name="Staff Name"/>
    <tableColumn id="3" xr3:uid="{00000000-0010-0000-0100-000003000000}" name="Department"/>
    <tableColumn id="4" xr3:uid="{00000000-0010-0000-0100-000004000000}" name="Role"/>
    <tableColumn id="5" xr3:uid="{00000000-0010-0000-0100-000005000000}" name="Work Date"/>
    <tableColumn id="6" xr3:uid="{00000000-0010-0000-0100-000006000000}" name="Shift Start"/>
    <tableColumn id="7" xr3:uid="{00000000-0010-0000-0100-000007000000}" name="Shift End"/>
    <tableColumn id="8" xr3:uid="{00000000-0010-0000-0100-000008000000}" name="Capacity"/>
    <tableColumn id="9" xr3:uid="{00000000-0010-0000-0100-000009000000}" name="Booked Appointments"/>
    <tableColumn id="10" xr3:uid="{00000000-0010-0000-0100-00000A000000}" name="Remaining Capacity"/>
    <tableColumn id="11" xr3:uid="{00000000-0010-0000-0100-00000B000000}" name="Availability Status"/>
    <tableColumn id="12" xr3:uid="{00000000-0010-0000-0100-00000C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partmentCalendarTable" displayName="DepartmentCalendarTable" ref="A1:I100">
  <tableColumns count="9">
    <tableColumn id="1" xr3:uid="{00000000-0010-0000-0200-000001000000}" name="Date"/>
    <tableColumn id="2" xr3:uid="{00000000-0010-0000-0200-000002000000}" name="Department"/>
    <tableColumn id="3" xr3:uid="{00000000-0010-0000-0200-000003000000}" name="Session Block"/>
    <tableColumn id="4" xr3:uid="{00000000-0010-0000-0200-000004000000}" name="Lead Staff"/>
    <tableColumn id="5" xr3:uid="{00000000-0010-0000-0200-000005000000}" name="Capacity"/>
    <tableColumn id="6" xr3:uid="{00000000-0010-0000-0200-000006000000}" name="Booked"/>
    <tableColumn id="7" xr3:uid="{00000000-0010-0000-0200-000007000000}" name="Open Slots"/>
    <tableColumn id="8" xr3:uid="{00000000-0010-0000-0200-000008000000}" name="High Priority Slots"/>
    <tableColumn id="9" xr3:uid="{00000000-0010-0000-0200-000009000000}" name="Coordination 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ngeTrackerTable" displayName="ChangeTrackerTable" ref="A1:N100">
  <tableColumns count="14">
    <tableColumn id="1" xr3:uid="{00000000-0010-0000-0300-000001000000}" name="Change ID"/>
    <tableColumn id="2" xr3:uid="{00000000-0010-0000-0300-000002000000}" name="Appointment ID"/>
    <tableColumn id="3" xr3:uid="{00000000-0010-0000-0300-000003000000}" name="Patient Name"/>
    <tableColumn id="4" xr3:uid="{00000000-0010-0000-0300-000004000000}" name="Request Type"/>
    <tableColumn id="5" xr3:uid="{00000000-0010-0000-0300-000005000000}" name="Original Date"/>
    <tableColumn id="6" xr3:uid="{00000000-0010-0000-0300-000006000000}" name="Original Time"/>
    <tableColumn id="7" xr3:uid="{00000000-0010-0000-0300-000007000000}" name="New Date"/>
    <tableColumn id="8" xr3:uid="{00000000-0010-0000-0300-000008000000}" name="New Time"/>
    <tableColumn id="9" xr3:uid="{00000000-0010-0000-0300-000009000000}" name="Reason"/>
    <tableColumn id="10" xr3:uid="{00000000-0010-0000-0300-00000A000000}" name="Action Taken"/>
    <tableColumn id="11" xr3:uid="{00000000-0010-0000-0300-00000B000000}" name="Patient Notified"/>
    <tableColumn id="12" xr3:uid="{00000000-0010-0000-0300-00000C000000}" name="Department Notified"/>
    <tableColumn id="13" xr3:uid="{00000000-0010-0000-0300-00000D000000}" name="Owner"/>
    <tableColumn id="14" xr3:uid="{00000000-0010-0000-0300-00000E000000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WaitlistUrgentSlotsTable" displayName="WaitlistUrgentSlotsTable" ref="A1:L100">
  <tableColumns count="12">
    <tableColumn id="1" xr3:uid="{00000000-0010-0000-0400-000001000000}" name="Waitlist ID"/>
    <tableColumn id="2" xr3:uid="{00000000-0010-0000-0400-000002000000}" name="Patient ID"/>
    <tableColumn id="3" xr3:uid="{00000000-0010-0000-0400-000003000000}" name="Patient Name"/>
    <tableColumn id="4" xr3:uid="{00000000-0010-0000-0400-000004000000}" name="Department"/>
    <tableColumn id="5" xr3:uid="{00000000-0010-0000-0400-000005000000}" name="Priority"/>
    <tableColumn id="6" xr3:uid="{00000000-0010-0000-0400-000006000000}" name="Preferred Date"/>
    <tableColumn id="7" xr3:uid="{00000000-0010-0000-0400-000007000000}" name="Preferred Time"/>
    <tableColumn id="8" xr3:uid="{00000000-0010-0000-0400-000008000000}" name="Contact Status"/>
    <tableColumn id="9" xr3:uid="{00000000-0010-0000-0400-000009000000}" name="Offer Status"/>
    <tableColumn id="10" xr3:uid="{00000000-0010-0000-0400-00000A000000}" name="Next Action"/>
    <tableColumn id="11" xr3:uid="{00000000-0010-0000-0400-00000B000000}" name="Owner"/>
    <tableColumn id="12" xr3:uid="{00000000-0010-0000-0400-00000C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mmunicationLogTable" displayName="CommunicationLogTable" ref="A1:K100">
  <tableColumns count="11">
    <tableColumn id="1" xr3:uid="{00000000-0010-0000-0500-000001000000}" name="Message ID"/>
    <tableColumn id="2" xr3:uid="{00000000-0010-0000-0500-000002000000}" name="Appointment ID"/>
    <tableColumn id="3" xr3:uid="{00000000-0010-0000-0500-000003000000}" name="Recipient"/>
    <tableColumn id="4" xr3:uid="{00000000-0010-0000-0500-000004000000}" name="Channel"/>
    <tableColumn id="5" xr3:uid="{00000000-0010-0000-0500-000005000000}" name="Trigger"/>
    <tableColumn id="6" xr3:uid="{00000000-0010-0000-0500-000006000000}" name="Date Sent"/>
    <tableColumn id="7" xr3:uid="{00000000-0010-0000-0500-000007000000}" name="Time Sent"/>
    <tableColumn id="8" xr3:uid="{00000000-0010-0000-0500-000008000000}" name="Sent By"/>
    <tableColumn id="9" xr3:uid="{00000000-0010-0000-0500-000009000000}" name="Delivery Status"/>
    <tableColumn id="10" xr3:uid="{00000000-0010-0000-0500-00000A000000}" name="Follow-up Required"/>
    <tableColumn id="11" xr3:uid="{00000000-0010-0000-0500-00000B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onflictRegisterTable" displayName="ConflictRegisterTable" ref="A1:J100">
  <tableColumns count="10">
    <tableColumn id="1" xr3:uid="{00000000-0010-0000-0600-000001000000}" name="Conflict ID"/>
    <tableColumn id="2" xr3:uid="{00000000-0010-0000-0600-000002000000}" name="Conflict Type"/>
    <tableColumn id="3" xr3:uid="{00000000-0010-0000-0600-000003000000}" name="Related Appointment"/>
    <tableColumn id="4" xr3:uid="{00000000-0010-0000-0600-000004000000}" name="Detected By"/>
    <tableColumn id="5" xr3:uid="{00000000-0010-0000-0600-000005000000}" name="Impact"/>
    <tableColumn id="6" xr3:uid="{00000000-0010-0000-0600-000006000000}" name="Resolution Rule"/>
    <tableColumn id="7" xr3:uid="{00000000-0010-0000-0600-000007000000}" name="Escalation Owner"/>
    <tableColumn id="8" xr3:uid="{00000000-0010-0000-0600-000008000000}" name="Target Resolution Time"/>
    <tableColumn id="9" xr3:uid="{00000000-0010-0000-0600-000009000000}" name="Status"/>
    <tableColumn id="10" xr3:uid="{00000000-0010-0000-0600-00000A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ocessFlowTable" displayName="ProcessFlowTable" ref="A1:E11">
  <tableColumns count="5">
    <tableColumn id="1" xr3:uid="{00000000-0010-0000-0700-000001000000}" name="Step"/>
    <tableColumn id="2" xr3:uid="{00000000-0010-0000-0700-000002000000}" name="Process Activity"/>
    <tableColumn id="3" xr3:uid="{00000000-0010-0000-0700-000003000000}" name="Responsible Role"/>
    <tableColumn id="4" xr3:uid="{00000000-0010-0000-0700-000004000000}" name="Control Point"/>
    <tableColumn id="5" xr3:uid="{00000000-0010-0000-0700-000005000000}" name="Outp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topLeftCell="A2" workbookViewId="0">
      <selection sqref="A1:H1"/>
    </sheetView>
  </sheetViews>
  <sheetFormatPr defaultRowHeight="13.8"/>
  <cols>
    <col min="1" max="1" width="15.09765625" bestFit="1" customWidth="1"/>
    <col min="2" max="2" width="29.59765625" bestFit="1" customWidth="1"/>
    <col min="3" max="8" width="18" customWidth="1"/>
  </cols>
  <sheetData>
    <row r="1" spans="1:8" ht="61.5" customHeight="1">
      <c r="A1" s="16" t="s">
        <v>0</v>
      </c>
      <c r="B1" s="17"/>
      <c r="C1" s="17"/>
      <c r="D1" s="17"/>
      <c r="E1" s="17"/>
      <c r="F1" s="17"/>
      <c r="G1" s="17"/>
      <c r="H1" s="17"/>
    </row>
    <row r="2" spans="1:8" ht="73.95" customHeight="1">
      <c r="A2" s="18" t="s">
        <v>1</v>
      </c>
      <c r="B2" s="17"/>
      <c r="C2" s="17"/>
      <c r="D2" s="17"/>
      <c r="E2" s="17"/>
      <c r="F2" s="17"/>
      <c r="G2" s="17"/>
      <c r="H2" s="17"/>
    </row>
    <row r="3" spans="1:8" ht="12" customHeight="1">
      <c r="A3" s="13"/>
      <c r="B3" s="13"/>
      <c r="C3" s="13"/>
      <c r="D3" s="13"/>
      <c r="E3" s="13"/>
      <c r="F3" s="13"/>
      <c r="G3" s="13"/>
      <c r="H3" s="13"/>
    </row>
    <row r="4" spans="1:8" ht="12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ht="13.35" customHeight="1">
      <c r="A5" s="14">
        <f>COUNTA('Appointment Scheduler'!A2:A200)</f>
        <v>20</v>
      </c>
      <c r="B5" s="14">
        <f>COUNTIF('Appointment Scheduler'!K2:K200,"Scheduled")</f>
        <v>8</v>
      </c>
      <c r="C5" s="14">
        <f>COUNTIF('Appointment Scheduler'!K2:K200,"Completed")</f>
        <v>7</v>
      </c>
      <c r="D5" s="14">
        <f>COUNTIF('Appointment Scheduler'!K2:K200,"Cancelled")</f>
        <v>1</v>
      </c>
      <c r="E5" s="14">
        <f>COUNTIF('Appointment Scheduler'!K2:K200,"Rescheduled")</f>
        <v>2</v>
      </c>
      <c r="F5" s="14">
        <f>COUNTIF('Appointment Scheduler'!J2:J200,"Urgent")</f>
        <v>4</v>
      </c>
      <c r="G5" s="14">
        <f>IFERROR(ROUND(AVERAGEIF('Appointment Scheduler'!K2:K200,"Completed",'Appointment Scheduler'!N2:N200),0),0)</f>
        <v>12</v>
      </c>
      <c r="H5" s="14">
        <f>COUNTIF('Conflict Register'!I2:I100,"Open")</f>
        <v>1</v>
      </c>
    </row>
    <row r="6" spans="1:8" ht="12" customHeight="1">
      <c r="A6" s="13"/>
      <c r="B6" s="13"/>
      <c r="C6" s="13"/>
      <c r="D6" s="13"/>
      <c r="E6" s="13"/>
      <c r="F6" s="13"/>
      <c r="G6" s="13"/>
      <c r="H6" s="13"/>
    </row>
    <row r="7" spans="1:8" ht="12" customHeight="1">
      <c r="A7" s="4" t="s">
        <v>10</v>
      </c>
      <c r="B7" s="4" t="s">
        <v>11</v>
      </c>
      <c r="C7" s="13"/>
      <c r="D7" s="4" t="s">
        <v>12</v>
      </c>
      <c r="E7" s="4" t="s">
        <v>13</v>
      </c>
      <c r="F7" s="4" t="s">
        <v>14</v>
      </c>
      <c r="G7" s="4" t="s">
        <v>5</v>
      </c>
      <c r="H7" s="4" t="s">
        <v>15</v>
      </c>
    </row>
    <row r="8" spans="1:8" ht="12" customHeight="1">
      <c r="A8" s="15" t="s">
        <v>3</v>
      </c>
      <c r="B8" s="15">
        <f>COUNTIF('Appointment Scheduler'!$K$2:$K$200,A8)</f>
        <v>8</v>
      </c>
      <c r="C8" s="13"/>
      <c r="D8" s="15" t="s">
        <v>16</v>
      </c>
      <c r="E8" s="15">
        <f>COUNTIF('Appointment Scheduler'!$D$2:$D$200,D8)</f>
        <v>4</v>
      </c>
      <c r="F8" s="15">
        <f>COUNTIFS('Appointment Scheduler'!$D$2:$D$200,D8,'Appointment Scheduler'!$J$2:$J$200,"Urgent")</f>
        <v>0</v>
      </c>
      <c r="G8" s="15">
        <f>COUNTIFS('Appointment Scheduler'!$D$2:$D$200,D8,'Appointment Scheduler'!$K$2:$K$200,"Cancelled")</f>
        <v>0</v>
      </c>
      <c r="H8" s="15">
        <f>SUMIF('Department Calendar'!$B$2:$B$100,D8,'Department Calendar'!$G$2:$G$100)</f>
        <v>68</v>
      </c>
    </row>
    <row r="9" spans="1:8" ht="12" customHeight="1">
      <c r="A9" s="15" t="s">
        <v>4</v>
      </c>
      <c r="B9" s="15">
        <f>COUNTIF('Appointment Scheduler'!$K$2:$K$200,A9)</f>
        <v>7</v>
      </c>
      <c r="C9" s="13"/>
      <c r="D9" s="15" t="s">
        <v>17</v>
      </c>
      <c r="E9" s="15">
        <f>COUNTIF('Appointment Scheduler'!$D$2:$D$200,D9)</f>
        <v>3</v>
      </c>
      <c r="F9" s="15">
        <f>COUNTIFS('Appointment Scheduler'!$D$2:$D$200,D9,'Appointment Scheduler'!$J$2:$J$200,"Urgent")</f>
        <v>0</v>
      </c>
      <c r="G9" s="15">
        <f>COUNTIFS('Appointment Scheduler'!$D$2:$D$200,D9,'Appointment Scheduler'!$K$2:$K$200,"Cancelled")</f>
        <v>0</v>
      </c>
      <c r="H9" s="15">
        <f>SUMIF('Department Calendar'!$B$2:$B$100,D9,'Department Calendar'!$G$2:$G$100)</f>
        <v>45</v>
      </c>
    </row>
    <row r="10" spans="1:8" ht="12" customHeight="1">
      <c r="A10" s="15" t="s">
        <v>5</v>
      </c>
      <c r="B10" s="15">
        <f>COUNTIF('Appointment Scheduler'!$K$2:$K$200,A10)</f>
        <v>1</v>
      </c>
      <c r="C10" s="13"/>
      <c r="D10" s="15" t="s">
        <v>18</v>
      </c>
      <c r="E10" s="15">
        <f>COUNTIF('Appointment Scheduler'!$D$2:$D$200,D10)</f>
        <v>4</v>
      </c>
      <c r="F10" s="15">
        <f>COUNTIFS('Appointment Scheduler'!$D$2:$D$200,D10,'Appointment Scheduler'!$J$2:$J$200,"Urgent")</f>
        <v>2</v>
      </c>
      <c r="G10" s="15">
        <f>COUNTIFS('Appointment Scheduler'!$D$2:$D$200,D10,'Appointment Scheduler'!$K$2:$K$200,"Cancelled")</f>
        <v>1</v>
      </c>
      <c r="H10" s="15">
        <f>SUMIF('Department Calendar'!$B$2:$B$100,D10,'Department Calendar'!$G$2:$G$100)</f>
        <v>29</v>
      </c>
    </row>
    <row r="11" spans="1:8" ht="12" customHeight="1">
      <c r="A11" s="15" t="s">
        <v>6</v>
      </c>
      <c r="B11" s="15">
        <f>COUNTIF('Appointment Scheduler'!$K$2:$K$200,A11)</f>
        <v>2</v>
      </c>
      <c r="C11" s="13"/>
      <c r="D11" s="15" t="s">
        <v>19</v>
      </c>
      <c r="E11" s="15">
        <f>COUNTIF('Appointment Scheduler'!$D$2:$D$200,D11)</f>
        <v>4</v>
      </c>
      <c r="F11" s="15">
        <f>COUNTIFS('Appointment Scheduler'!$D$2:$D$200,D11,'Appointment Scheduler'!$J$2:$J$200,"Urgent")</f>
        <v>1</v>
      </c>
      <c r="G11" s="15">
        <f>COUNTIFS('Appointment Scheduler'!$D$2:$D$200,D11,'Appointment Scheduler'!$K$2:$K$200,"Cancelled")</f>
        <v>0</v>
      </c>
      <c r="H11" s="15">
        <f>SUMIF('Department Calendar'!$B$2:$B$100,D11,'Department Calendar'!$G$2:$G$100)</f>
        <v>52</v>
      </c>
    </row>
    <row r="12" spans="1:8" ht="12" customHeight="1">
      <c r="A12" s="15" t="s">
        <v>20</v>
      </c>
      <c r="B12" s="15">
        <f>COUNTIF('Appointment Scheduler'!$K$2:$K$200,A12)</f>
        <v>1</v>
      </c>
      <c r="C12" s="13"/>
      <c r="D12" s="15" t="s">
        <v>21</v>
      </c>
      <c r="E12" s="15">
        <f>COUNTIF('Appointment Scheduler'!$D$2:$D$200,D12)</f>
        <v>3</v>
      </c>
      <c r="F12" s="15">
        <f>COUNTIFS('Appointment Scheduler'!$D$2:$D$200,D12,'Appointment Scheduler'!$J$2:$J$200,"Urgent")</f>
        <v>1</v>
      </c>
      <c r="G12" s="15">
        <f>COUNTIFS('Appointment Scheduler'!$D$2:$D$200,D12,'Appointment Scheduler'!$K$2:$K$200,"Cancelled")</f>
        <v>0</v>
      </c>
      <c r="H12" s="15">
        <f>SUMIF('Department Calendar'!$B$2:$B$100,D12,'Department Calendar'!$G$2:$G$100)</f>
        <v>57</v>
      </c>
    </row>
    <row r="13" spans="1:8">
      <c r="A13" s="15" t="s">
        <v>22</v>
      </c>
      <c r="B13" s="15">
        <f>COUNTIF('Appointment Scheduler'!$K$2:$K$200,A13)</f>
        <v>1</v>
      </c>
      <c r="C13" s="13"/>
      <c r="D13" s="15" t="s">
        <v>23</v>
      </c>
      <c r="E13" s="15">
        <f>COUNTIF('Appointment Scheduler'!$D$2:$D$200,D13)</f>
        <v>2</v>
      </c>
      <c r="F13" s="15">
        <f>COUNTIFS('Appointment Scheduler'!$D$2:$D$200,D13,'Appointment Scheduler'!$J$2:$J$200,"Urgent")</f>
        <v>0</v>
      </c>
      <c r="G13" s="15">
        <f>COUNTIFS('Appointment Scheduler'!$D$2:$D$200,D13,'Appointment Scheduler'!$K$2:$K$200,"Cancelled")</f>
        <v>0</v>
      </c>
      <c r="H13" s="15">
        <f>SUMIF('Department Calendar'!$B$2:$B$100,D13,'Department Calendar'!$G$2:$G$100)</f>
        <v>38</v>
      </c>
    </row>
    <row r="14" spans="1:8" ht="12" customHeight="1">
      <c r="A14" s="13"/>
      <c r="B14" s="13"/>
      <c r="C14" s="13"/>
      <c r="D14" s="13"/>
      <c r="E14" s="13"/>
      <c r="F14" s="13"/>
      <c r="G14" s="13"/>
      <c r="H14" s="13"/>
    </row>
    <row r="15" spans="1:8" ht="12" customHeight="1">
      <c r="A15" s="13"/>
      <c r="B15" s="13"/>
      <c r="C15" s="13"/>
      <c r="D15" s="13"/>
      <c r="E15" s="13"/>
      <c r="F15" s="13"/>
      <c r="G15" s="13"/>
      <c r="H15" s="13"/>
    </row>
    <row r="16" spans="1:8" ht="21.15" customHeight="1">
      <c r="A16" s="19" t="s">
        <v>24</v>
      </c>
      <c r="B16" s="17"/>
      <c r="C16" s="17"/>
      <c r="D16" s="17"/>
      <c r="E16" s="17"/>
      <c r="F16" s="17"/>
      <c r="G16" s="17"/>
      <c r="H16" s="17"/>
    </row>
    <row r="17" spans="1:8" ht="12" customHeight="1">
      <c r="A17" s="4" t="s">
        <v>25</v>
      </c>
      <c r="B17" s="4" t="s">
        <v>26</v>
      </c>
      <c r="C17" s="4" t="s">
        <v>27</v>
      </c>
      <c r="D17" s="4" t="s">
        <v>28</v>
      </c>
      <c r="E17" s="4" t="s">
        <v>29</v>
      </c>
      <c r="F17" s="13"/>
      <c r="G17" s="13"/>
      <c r="H17" s="13"/>
    </row>
    <row r="18" spans="1:8" ht="21.15" customHeight="1">
      <c r="A18" s="15" t="s">
        <v>30</v>
      </c>
      <c r="B18" s="15" t="s">
        <v>31</v>
      </c>
      <c r="C18" s="15" t="s">
        <v>32</v>
      </c>
      <c r="D18" s="15" t="s">
        <v>33</v>
      </c>
      <c r="E18" s="15" t="s">
        <v>34</v>
      </c>
      <c r="F18" s="13"/>
      <c r="G18" s="13"/>
      <c r="H18" s="13"/>
    </row>
    <row r="19" spans="1:8" ht="31.65" customHeight="1">
      <c r="A19" s="15" t="s">
        <v>35</v>
      </c>
      <c r="B19" s="15" t="s">
        <v>36</v>
      </c>
      <c r="C19" s="15" t="s">
        <v>37</v>
      </c>
      <c r="D19" s="15" t="s">
        <v>38</v>
      </c>
      <c r="E19" s="15" t="s">
        <v>34</v>
      </c>
      <c r="F19" s="13"/>
      <c r="G19" s="13"/>
      <c r="H19" s="13"/>
    </row>
    <row r="20" spans="1:8" ht="31.65" customHeight="1">
      <c r="A20" s="15" t="s">
        <v>39</v>
      </c>
      <c r="B20" s="15" t="s">
        <v>40</v>
      </c>
      <c r="C20" s="15" t="s">
        <v>41</v>
      </c>
      <c r="D20" s="15" t="s">
        <v>42</v>
      </c>
      <c r="E20" s="15" t="s">
        <v>43</v>
      </c>
      <c r="F20" s="13"/>
      <c r="G20" s="13"/>
      <c r="H20" s="13"/>
    </row>
    <row r="21" spans="1:8" ht="31.65" customHeight="1">
      <c r="A21" s="15" t="s">
        <v>44</v>
      </c>
      <c r="B21" s="15" t="s">
        <v>45</v>
      </c>
      <c r="C21" s="15" t="s">
        <v>46</v>
      </c>
      <c r="D21" s="15" t="s">
        <v>47</v>
      </c>
      <c r="E21" s="15" t="s">
        <v>34</v>
      </c>
      <c r="F21" s="13"/>
      <c r="G21" s="13"/>
      <c r="H21" s="13"/>
    </row>
    <row r="22" spans="1:8" ht="12" customHeight="1">
      <c r="A22" s="13"/>
      <c r="B22" s="13"/>
      <c r="C22" s="13"/>
      <c r="D22" s="13"/>
      <c r="E22" s="13"/>
      <c r="F22" s="13"/>
      <c r="G22" s="13"/>
      <c r="H22" s="13"/>
    </row>
    <row r="23" spans="1:8" ht="12" customHeight="1">
      <c r="A23" s="13"/>
      <c r="B23" s="13"/>
      <c r="C23" s="13"/>
      <c r="D23" s="13"/>
      <c r="E23" s="13"/>
      <c r="F23" s="13"/>
      <c r="G23" s="13"/>
      <c r="H23" s="13"/>
    </row>
    <row r="24" spans="1:8" ht="12" customHeight="1">
      <c r="A24" s="13"/>
      <c r="B24" s="13"/>
      <c r="C24" s="13"/>
      <c r="D24" s="13"/>
      <c r="E24" s="13"/>
      <c r="F24" s="13"/>
      <c r="G24" s="13"/>
      <c r="H24" s="13"/>
    </row>
    <row r="25" spans="1:8" ht="12" customHeight="1">
      <c r="A25" s="13"/>
      <c r="B25" s="13"/>
      <c r="C25" s="13"/>
      <c r="D25" s="13"/>
      <c r="E25" s="13"/>
      <c r="F25" s="13"/>
      <c r="G25" s="13"/>
      <c r="H25" s="13"/>
    </row>
    <row r="26" spans="1:8" ht="12" customHeight="1">
      <c r="A26" s="13"/>
      <c r="B26" s="13"/>
      <c r="C26" s="13"/>
      <c r="D26" s="13"/>
      <c r="E26" s="13"/>
      <c r="F26" s="13"/>
      <c r="G26" s="13"/>
      <c r="H26" s="13"/>
    </row>
    <row r="27" spans="1:8" ht="12" customHeight="1">
      <c r="A27" s="13"/>
      <c r="B27" s="13"/>
      <c r="C27" s="13"/>
      <c r="D27" s="13"/>
      <c r="E27" s="13"/>
      <c r="F27" s="13"/>
      <c r="G27" s="13"/>
      <c r="H27" s="13"/>
    </row>
    <row r="28" spans="1:8" ht="12" customHeight="1">
      <c r="A28" s="13"/>
      <c r="B28" s="13"/>
      <c r="C28" s="13"/>
      <c r="D28" s="13"/>
      <c r="E28" s="13"/>
      <c r="F28" s="13"/>
      <c r="G28" s="13"/>
      <c r="H28" s="13"/>
    </row>
    <row r="29" spans="1:8" ht="12" customHeight="1">
      <c r="A29" s="13"/>
      <c r="B29" s="13"/>
      <c r="C29" s="13"/>
      <c r="D29" s="13"/>
      <c r="E29" s="13"/>
      <c r="F29" s="13"/>
      <c r="G29" s="13"/>
      <c r="H29" s="13"/>
    </row>
    <row r="30" spans="1:8" ht="12" customHeight="1">
      <c r="A30" s="13"/>
      <c r="B30" s="13"/>
      <c r="C30" s="13"/>
      <c r="D30" s="13"/>
      <c r="E30" s="13"/>
      <c r="F30" s="13"/>
      <c r="G30" s="13"/>
      <c r="H30" s="13"/>
    </row>
    <row r="31" spans="1:8" ht="12" customHeight="1">
      <c r="A31" s="13"/>
      <c r="B31" s="13"/>
      <c r="C31" s="13"/>
      <c r="D31" s="13"/>
      <c r="E31" s="13"/>
      <c r="F31" s="13"/>
      <c r="G31" s="13"/>
      <c r="H31" s="13"/>
    </row>
    <row r="32" spans="1:8" ht="12" customHeight="1">
      <c r="A32" s="13"/>
      <c r="B32" s="13"/>
      <c r="C32" s="13"/>
      <c r="D32" s="13"/>
      <c r="E32" s="13"/>
      <c r="F32" s="13"/>
      <c r="G32" s="13"/>
      <c r="H32" s="13"/>
    </row>
    <row r="33" spans="1:8" ht="12" customHeight="1">
      <c r="A33" s="13"/>
      <c r="B33" s="13"/>
      <c r="C33" s="13"/>
      <c r="D33" s="13"/>
      <c r="E33" s="13"/>
      <c r="F33" s="13"/>
      <c r="G33" s="13"/>
      <c r="H33" s="13"/>
    </row>
    <row r="34" spans="1:8" ht="12" customHeight="1">
      <c r="A34" s="13"/>
      <c r="B34" s="13"/>
      <c r="C34" s="13"/>
      <c r="D34" s="13"/>
      <c r="E34" s="13"/>
      <c r="F34" s="13"/>
      <c r="G34" s="13"/>
      <c r="H34" s="13"/>
    </row>
    <row r="35" spans="1:8" ht="12" customHeight="1">
      <c r="A35" s="13"/>
      <c r="B35" s="13"/>
      <c r="C35" s="13"/>
      <c r="D35" s="13"/>
      <c r="E35" s="13"/>
      <c r="F35" s="13"/>
      <c r="G35" s="13"/>
      <c r="H35" s="13"/>
    </row>
    <row r="36" spans="1:8" ht="12" customHeight="1">
      <c r="A36" s="13"/>
      <c r="B36" s="13"/>
      <c r="C36" s="13"/>
      <c r="D36" s="13"/>
      <c r="E36" s="13"/>
      <c r="F36" s="13"/>
      <c r="G36" s="13"/>
      <c r="H36" s="13"/>
    </row>
    <row r="37" spans="1:8" ht="12" customHeight="1">
      <c r="A37" s="13"/>
      <c r="B37" s="13"/>
      <c r="C37" s="13"/>
      <c r="D37" s="13"/>
      <c r="E37" s="13"/>
      <c r="F37" s="13"/>
      <c r="G37" s="13"/>
      <c r="H37" s="13"/>
    </row>
    <row r="38" spans="1:8" ht="12" customHeight="1">
      <c r="A38" s="13"/>
      <c r="B38" s="13"/>
      <c r="C38" s="13"/>
      <c r="D38" s="13"/>
      <c r="E38" s="13"/>
      <c r="F38" s="13"/>
      <c r="G38" s="13"/>
      <c r="H38" s="13"/>
    </row>
    <row r="39" spans="1:8" ht="12" customHeight="1">
      <c r="A39" s="13"/>
      <c r="B39" s="13"/>
      <c r="C39" s="13"/>
      <c r="D39" s="13"/>
      <c r="E39" s="13"/>
      <c r="F39" s="13"/>
      <c r="G39" s="13"/>
      <c r="H39" s="13"/>
    </row>
    <row r="40" spans="1:8" ht="12" customHeight="1">
      <c r="A40" s="13"/>
      <c r="B40" s="13"/>
      <c r="C40" s="13"/>
      <c r="D40" s="13"/>
      <c r="E40" s="13"/>
      <c r="F40" s="13"/>
      <c r="G40" s="13"/>
      <c r="H40" s="13"/>
    </row>
  </sheetData>
  <mergeCells count="3">
    <mergeCell ref="A1:H1"/>
    <mergeCell ref="A2:H2"/>
    <mergeCell ref="A16:H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0"/>
  <sheetViews>
    <sheetView workbookViewId="0"/>
  </sheetViews>
  <sheetFormatPr defaultRowHeight="13.8"/>
  <cols>
    <col min="1" max="1" width="14" customWidth="1"/>
    <col min="2" max="2" width="12" customWidth="1"/>
    <col min="3" max="3" width="18" customWidth="1"/>
    <col min="4" max="4" width="24" customWidth="1"/>
    <col min="5" max="5" width="20" customWidth="1"/>
    <col min="6" max="8" width="12" customWidth="1"/>
    <col min="9" max="9" width="18" customWidth="1"/>
    <col min="10" max="10" width="10" customWidth="1"/>
    <col min="11" max="11" width="16" customWidth="1"/>
    <col min="12" max="12" width="14" customWidth="1"/>
    <col min="13" max="13" width="15" customWidth="1"/>
    <col min="14" max="14" width="12" customWidth="1"/>
    <col min="15" max="15" width="14" customWidth="1"/>
    <col min="16" max="16" width="20" customWidth="1"/>
    <col min="17" max="17" width="16" customWidth="1"/>
    <col min="18" max="18" width="32" customWidth="1"/>
  </cols>
  <sheetData>
    <row r="1" spans="1:18" ht="12" customHeight="1">
      <c r="A1" s="4" t="s">
        <v>48</v>
      </c>
      <c r="B1" s="4" t="s">
        <v>49</v>
      </c>
      <c r="C1" s="4" t="s">
        <v>50</v>
      </c>
      <c r="D1" s="4" t="s">
        <v>12</v>
      </c>
      <c r="E1" s="4" t="s">
        <v>51</v>
      </c>
      <c r="F1" s="4" t="s">
        <v>52</v>
      </c>
      <c r="G1" s="4" t="s">
        <v>53</v>
      </c>
      <c r="H1" s="4" t="s">
        <v>54</v>
      </c>
      <c r="I1" s="4" t="s">
        <v>55</v>
      </c>
      <c r="J1" s="4" t="s">
        <v>56</v>
      </c>
      <c r="K1" s="4" t="s">
        <v>29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</row>
    <row r="2" spans="1:18" ht="12" customHeight="1">
      <c r="A2" s="5" t="s">
        <v>64</v>
      </c>
      <c r="B2" s="5" t="s">
        <v>65</v>
      </c>
      <c r="C2" s="5" t="s">
        <v>66</v>
      </c>
      <c r="D2" s="5" t="s">
        <v>16</v>
      </c>
      <c r="E2" s="5" t="s">
        <v>67</v>
      </c>
      <c r="F2" s="6">
        <v>46188</v>
      </c>
      <c r="G2" s="8">
        <v>46188.375</v>
      </c>
      <c r="H2" s="8">
        <v>46188.388888888891</v>
      </c>
      <c r="I2" s="5" t="s">
        <v>68</v>
      </c>
      <c r="J2" s="5" t="s">
        <v>69</v>
      </c>
      <c r="K2" s="5" t="s">
        <v>4</v>
      </c>
      <c r="L2" s="8">
        <v>46188.369444444441</v>
      </c>
      <c r="M2" s="8">
        <v>46188.378472222219</v>
      </c>
      <c r="N2" s="10">
        <f t="shared" ref="N2:N21" si="0">IF(AND(L2&lt;&gt;"",M2&lt;&gt;""),ROUND((M2-L2)*1440,0),"")</f>
        <v>13</v>
      </c>
      <c r="O2" s="5" t="s">
        <v>70</v>
      </c>
      <c r="P2" s="5" t="s">
        <v>71</v>
      </c>
      <c r="Q2" s="5" t="s">
        <v>72</v>
      </c>
      <c r="R2" s="5" t="s">
        <v>73</v>
      </c>
    </row>
    <row r="3" spans="1:18" ht="12" customHeight="1">
      <c r="A3" s="5" t="s">
        <v>74</v>
      </c>
      <c r="B3" s="5" t="s">
        <v>75</v>
      </c>
      <c r="C3" s="5" t="s">
        <v>76</v>
      </c>
      <c r="D3" s="5" t="s">
        <v>19</v>
      </c>
      <c r="E3" s="5" t="s">
        <v>77</v>
      </c>
      <c r="F3" s="6">
        <v>46188</v>
      </c>
      <c r="G3" s="8">
        <v>46188.395833333336</v>
      </c>
      <c r="H3" s="8">
        <v>46188.40625</v>
      </c>
      <c r="I3" s="5" t="s">
        <v>78</v>
      </c>
      <c r="J3" s="5" t="s">
        <v>69</v>
      </c>
      <c r="K3" s="5" t="s">
        <v>4</v>
      </c>
      <c r="L3" s="8">
        <v>46188.388888888891</v>
      </c>
      <c r="M3" s="8">
        <v>46188.397222222222</v>
      </c>
      <c r="N3" s="10">
        <f t="shared" si="0"/>
        <v>12</v>
      </c>
      <c r="O3" s="5" t="s">
        <v>79</v>
      </c>
      <c r="P3" s="5" t="s">
        <v>71</v>
      </c>
      <c r="Q3" s="5" t="s">
        <v>72</v>
      </c>
      <c r="R3" s="5" t="s">
        <v>80</v>
      </c>
    </row>
    <row r="4" spans="1:18" ht="12" customHeight="1">
      <c r="A4" s="5" t="s">
        <v>81</v>
      </c>
      <c r="B4" s="5" t="s">
        <v>82</v>
      </c>
      <c r="C4" s="5" t="s">
        <v>83</v>
      </c>
      <c r="D4" s="5" t="s">
        <v>18</v>
      </c>
      <c r="E4" s="5" t="s">
        <v>84</v>
      </c>
      <c r="F4" s="6">
        <v>46188</v>
      </c>
      <c r="G4" s="8">
        <v>46188.416666666664</v>
      </c>
      <c r="H4" s="8">
        <v>46188.4375</v>
      </c>
      <c r="I4" s="5" t="s">
        <v>78</v>
      </c>
      <c r="J4" s="5" t="s">
        <v>14</v>
      </c>
      <c r="K4" s="5" t="s">
        <v>4</v>
      </c>
      <c r="L4" s="8">
        <v>46188.408333333333</v>
      </c>
      <c r="M4" s="8">
        <v>46188.415277777778</v>
      </c>
      <c r="N4" s="10">
        <f t="shared" si="0"/>
        <v>10</v>
      </c>
      <c r="O4" s="5" t="s">
        <v>85</v>
      </c>
      <c r="P4" s="5" t="s">
        <v>86</v>
      </c>
      <c r="Q4" s="5" t="s">
        <v>72</v>
      </c>
      <c r="R4" s="5" t="s">
        <v>87</v>
      </c>
    </row>
    <row r="5" spans="1:18" ht="12" customHeight="1">
      <c r="A5" s="5" t="s">
        <v>88</v>
      </c>
      <c r="B5" s="5" t="s">
        <v>89</v>
      </c>
      <c r="C5" s="5" t="s">
        <v>90</v>
      </c>
      <c r="D5" s="5" t="s">
        <v>17</v>
      </c>
      <c r="E5" s="5" t="s">
        <v>91</v>
      </c>
      <c r="F5" s="6">
        <v>46188</v>
      </c>
      <c r="G5" s="8">
        <v>46188.427083333336</v>
      </c>
      <c r="H5" s="8">
        <v>46188.440972222219</v>
      </c>
      <c r="I5" s="5" t="s">
        <v>92</v>
      </c>
      <c r="J5" s="5" t="s">
        <v>69</v>
      </c>
      <c r="K5" s="5" t="s">
        <v>3</v>
      </c>
      <c r="L5" s="8"/>
      <c r="M5" s="8"/>
      <c r="N5" s="10" t="str">
        <f t="shared" si="0"/>
        <v/>
      </c>
      <c r="O5" s="5" t="s">
        <v>93</v>
      </c>
      <c r="P5" s="5" t="s">
        <v>94</v>
      </c>
      <c r="Q5" s="5" t="s">
        <v>95</v>
      </c>
      <c r="R5" s="5" t="s">
        <v>96</v>
      </c>
    </row>
    <row r="6" spans="1:18" ht="12" customHeight="1">
      <c r="A6" s="5" t="s">
        <v>97</v>
      </c>
      <c r="B6" s="5" t="s">
        <v>98</v>
      </c>
      <c r="C6" s="5" t="s">
        <v>99</v>
      </c>
      <c r="D6" s="5" t="s">
        <v>21</v>
      </c>
      <c r="E6" s="5" t="s">
        <v>100</v>
      </c>
      <c r="F6" s="6">
        <v>46188</v>
      </c>
      <c r="G6" s="8">
        <v>46188.458333333336</v>
      </c>
      <c r="H6" s="8">
        <v>46188.472222222219</v>
      </c>
      <c r="I6" s="5" t="s">
        <v>101</v>
      </c>
      <c r="J6" s="5" t="s">
        <v>69</v>
      </c>
      <c r="K6" s="5" t="s">
        <v>22</v>
      </c>
      <c r="L6" s="8"/>
      <c r="M6" s="8"/>
      <c r="N6" s="10" t="str">
        <f t="shared" si="0"/>
        <v/>
      </c>
      <c r="O6" s="5" t="s">
        <v>41</v>
      </c>
      <c r="P6" s="5" t="s">
        <v>102</v>
      </c>
      <c r="Q6" s="5" t="s">
        <v>102</v>
      </c>
      <c r="R6" s="5" t="s">
        <v>103</v>
      </c>
    </row>
    <row r="7" spans="1:18" ht="21.15" customHeight="1">
      <c r="A7" s="5" t="s">
        <v>104</v>
      </c>
      <c r="B7" s="5" t="s">
        <v>105</v>
      </c>
      <c r="C7" s="5" t="s">
        <v>106</v>
      </c>
      <c r="D7" s="5" t="s">
        <v>23</v>
      </c>
      <c r="E7" s="5" t="s">
        <v>107</v>
      </c>
      <c r="F7" s="6">
        <v>46188</v>
      </c>
      <c r="G7" s="8">
        <v>46188.479166666664</v>
      </c>
      <c r="H7" s="8">
        <v>46188.489583333336</v>
      </c>
      <c r="I7" s="5" t="s">
        <v>108</v>
      </c>
      <c r="J7" s="5" t="s">
        <v>69</v>
      </c>
      <c r="K7" s="5" t="s">
        <v>3</v>
      </c>
      <c r="L7" s="8"/>
      <c r="M7" s="8"/>
      <c r="N7" s="10" t="str">
        <f t="shared" si="0"/>
        <v/>
      </c>
      <c r="O7" s="5" t="s">
        <v>109</v>
      </c>
      <c r="P7" s="5" t="s">
        <v>94</v>
      </c>
      <c r="Q7" s="5" t="s">
        <v>72</v>
      </c>
      <c r="R7" s="5" t="s">
        <v>110</v>
      </c>
    </row>
    <row r="8" spans="1:18" ht="12" customHeight="1">
      <c r="A8" s="5" t="s">
        <v>111</v>
      </c>
      <c r="B8" s="5" t="s">
        <v>112</v>
      </c>
      <c r="C8" s="5" t="s">
        <v>113</v>
      </c>
      <c r="D8" s="5" t="s">
        <v>16</v>
      </c>
      <c r="E8" s="5" t="s">
        <v>67</v>
      </c>
      <c r="F8" s="6">
        <v>46188</v>
      </c>
      <c r="G8" s="8">
        <v>46188.5</v>
      </c>
      <c r="H8" s="8">
        <v>46188.513888888891</v>
      </c>
      <c r="I8" s="5" t="s">
        <v>114</v>
      </c>
      <c r="J8" s="5" t="s">
        <v>69</v>
      </c>
      <c r="K8" s="5" t="s">
        <v>6</v>
      </c>
      <c r="L8" s="8"/>
      <c r="M8" s="8"/>
      <c r="N8" s="10" t="str">
        <f t="shared" si="0"/>
        <v/>
      </c>
      <c r="O8" s="5" t="s">
        <v>70</v>
      </c>
      <c r="P8" s="5" t="s">
        <v>86</v>
      </c>
      <c r="Q8" s="5" t="s">
        <v>72</v>
      </c>
      <c r="R8" s="5" t="s">
        <v>115</v>
      </c>
    </row>
    <row r="9" spans="1:18" ht="12" customHeight="1">
      <c r="A9" s="5" t="s">
        <v>116</v>
      </c>
      <c r="B9" s="5" t="s">
        <v>117</v>
      </c>
      <c r="C9" s="5" t="s">
        <v>118</v>
      </c>
      <c r="D9" s="5" t="s">
        <v>19</v>
      </c>
      <c r="E9" s="5" t="s">
        <v>77</v>
      </c>
      <c r="F9" s="6">
        <v>46188</v>
      </c>
      <c r="G9" s="8">
        <v>46188.541666666664</v>
      </c>
      <c r="H9" s="8">
        <v>46188.552083333336</v>
      </c>
      <c r="I9" s="5" t="s">
        <v>78</v>
      </c>
      <c r="J9" s="5" t="s">
        <v>14</v>
      </c>
      <c r="K9" s="5" t="s">
        <v>3</v>
      </c>
      <c r="L9" s="8"/>
      <c r="M9" s="8"/>
      <c r="N9" s="10" t="str">
        <f t="shared" si="0"/>
        <v/>
      </c>
      <c r="O9" s="5" t="s">
        <v>79</v>
      </c>
      <c r="P9" s="5" t="s">
        <v>94</v>
      </c>
      <c r="Q9" s="5" t="s">
        <v>72</v>
      </c>
      <c r="R9" s="5" t="s">
        <v>119</v>
      </c>
    </row>
    <row r="10" spans="1:18" ht="12" customHeight="1">
      <c r="A10" s="5" t="s">
        <v>120</v>
      </c>
      <c r="B10" s="5" t="s">
        <v>121</v>
      </c>
      <c r="C10" s="5" t="s">
        <v>122</v>
      </c>
      <c r="D10" s="5" t="s">
        <v>18</v>
      </c>
      <c r="E10" s="5" t="s">
        <v>84</v>
      </c>
      <c r="F10" s="6">
        <v>46188</v>
      </c>
      <c r="G10" s="8">
        <v>46188.583333333336</v>
      </c>
      <c r="H10" s="8">
        <v>46188.604166666664</v>
      </c>
      <c r="I10" s="5" t="s">
        <v>78</v>
      </c>
      <c r="J10" s="5" t="s">
        <v>69</v>
      </c>
      <c r="K10" s="5" t="s">
        <v>5</v>
      </c>
      <c r="L10" s="8"/>
      <c r="M10" s="8"/>
      <c r="N10" s="10" t="str">
        <f t="shared" si="0"/>
        <v/>
      </c>
      <c r="O10" s="5" t="s">
        <v>123</v>
      </c>
      <c r="P10" s="5" t="s">
        <v>86</v>
      </c>
      <c r="Q10" s="5" t="s">
        <v>72</v>
      </c>
      <c r="R10" s="5" t="s">
        <v>124</v>
      </c>
    </row>
    <row r="11" spans="1:18" ht="12" customHeight="1">
      <c r="A11" s="5" t="s">
        <v>125</v>
      </c>
      <c r="B11" s="5" t="s">
        <v>126</v>
      </c>
      <c r="C11" s="5" t="s">
        <v>127</v>
      </c>
      <c r="D11" s="5" t="s">
        <v>17</v>
      </c>
      <c r="E11" s="5" t="s">
        <v>91</v>
      </c>
      <c r="F11" s="6">
        <v>46188</v>
      </c>
      <c r="G11" s="8">
        <v>46188.614583333336</v>
      </c>
      <c r="H11" s="8">
        <v>46188.625</v>
      </c>
      <c r="I11" s="5" t="s">
        <v>92</v>
      </c>
      <c r="J11" s="5" t="s">
        <v>69</v>
      </c>
      <c r="K11" s="5" t="s">
        <v>4</v>
      </c>
      <c r="L11" s="8">
        <v>46188.60833333333</v>
      </c>
      <c r="M11" s="8">
        <v>46188.615972222222</v>
      </c>
      <c r="N11" s="10">
        <f t="shared" si="0"/>
        <v>11</v>
      </c>
      <c r="O11" s="5" t="s">
        <v>93</v>
      </c>
      <c r="P11" s="5" t="s">
        <v>71</v>
      </c>
      <c r="Q11" s="5" t="s">
        <v>95</v>
      </c>
      <c r="R11" s="5" t="s">
        <v>128</v>
      </c>
    </row>
    <row r="12" spans="1:18" ht="12" customHeight="1">
      <c r="A12" s="5" t="s">
        <v>129</v>
      </c>
      <c r="B12" s="5" t="s">
        <v>130</v>
      </c>
      <c r="C12" s="5" t="s">
        <v>131</v>
      </c>
      <c r="D12" s="5" t="s">
        <v>16</v>
      </c>
      <c r="E12" s="5" t="s">
        <v>132</v>
      </c>
      <c r="F12" s="6">
        <v>46189</v>
      </c>
      <c r="G12" s="8">
        <v>46189.375</v>
      </c>
      <c r="H12" s="8">
        <v>46189.388888888891</v>
      </c>
      <c r="I12" s="5" t="s">
        <v>68</v>
      </c>
      <c r="J12" s="5" t="s">
        <v>69</v>
      </c>
      <c r="K12" s="5" t="s">
        <v>3</v>
      </c>
      <c r="L12" s="8"/>
      <c r="M12" s="8"/>
      <c r="N12" s="10" t="str">
        <f t="shared" si="0"/>
        <v/>
      </c>
      <c r="O12" s="5" t="s">
        <v>133</v>
      </c>
      <c r="P12" s="5" t="s">
        <v>94</v>
      </c>
      <c r="Q12" s="5" t="s">
        <v>72</v>
      </c>
      <c r="R12" s="5" t="s">
        <v>134</v>
      </c>
    </row>
    <row r="13" spans="1:18" ht="12" customHeight="1">
      <c r="A13" s="5" t="s">
        <v>135</v>
      </c>
      <c r="B13" s="5" t="s">
        <v>136</v>
      </c>
      <c r="C13" s="5" t="s">
        <v>137</v>
      </c>
      <c r="D13" s="5" t="s">
        <v>19</v>
      </c>
      <c r="E13" s="5" t="s">
        <v>77</v>
      </c>
      <c r="F13" s="6">
        <v>46189</v>
      </c>
      <c r="G13" s="8">
        <v>46189.388888888891</v>
      </c>
      <c r="H13" s="8">
        <v>46189.399305555555</v>
      </c>
      <c r="I13" s="5" t="s">
        <v>78</v>
      </c>
      <c r="J13" s="5" t="s">
        <v>69</v>
      </c>
      <c r="K13" s="5" t="s">
        <v>4</v>
      </c>
      <c r="L13" s="8">
        <v>46189.382638888892</v>
      </c>
      <c r="M13" s="8">
        <v>46189.39166666667</v>
      </c>
      <c r="N13" s="10">
        <f t="shared" si="0"/>
        <v>13</v>
      </c>
      <c r="O13" s="5" t="s">
        <v>138</v>
      </c>
      <c r="P13" s="5" t="s">
        <v>71</v>
      </c>
      <c r="Q13" s="5" t="s">
        <v>72</v>
      </c>
      <c r="R13" s="5" t="s">
        <v>139</v>
      </c>
    </row>
    <row r="14" spans="1:18" ht="12" customHeight="1">
      <c r="A14" s="5" t="s">
        <v>140</v>
      </c>
      <c r="B14" s="5" t="s">
        <v>141</v>
      </c>
      <c r="C14" s="5" t="s">
        <v>142</v>
      </c>
      <c r="D14" s="5" t="s">
        <v>21</v>
      </c>
      <c r="E14" s="5" t="s">
        <v>100</v>
      </c>
      <c r="F14" s="6">
        <v>46189</v>
      </c>
      <c r="G14" s="8">
        <v>46189.416666666664</v>
      </c>
      <c r="H14" s="8">
        <v>46189.430555555555</v>
      </c>
      <c r="I14" s="5" t="s">
        <v>101</v>
      </c>
      <c r="J14" s="5" t="s">
        <v>69</v>
      </c>
      <c r="K14" s="5" t="s">
        <v>4</v>
      </c>
      <c r="L14" s="8">
        <v>46189.409722222219</v>
      </c>
      <c r="M14" s="8">
        <v>46189.420138888891</v>
      </c>
      <c r="N14" s="10">
        <f t="shared" si="0"/>
        <v>15</v>
      </c>
      <c r="O14" s="5" t="s">
        <v>41</v>
      </c>
      <c r="P14" s="5" t="s">
        <v>86</v>
      </c>
      <c r="Q14" s="5" t="s">
        <v>72</v>
      </c>
      <c r="R14" s="5" t="s">
        <v>143</v>
      </c>
    </row>
    <row r="15" spans="1:18" ht="12" customHeight="1">
      <c r="A15" s="5" t="s">
        <v>144</v>
      </c>
      <c r="B15" s="5" t="s">
        <v>145</v>
      </c>
      <c r="C15" s="5" t="s">
        <v>146</v>
      </c>
      <c r="D15" s="5" t="s">
        <v>18</v>
      </c>
      <c r="E15" s="5" t="s">
        <v>84</v>
      </c>
      <c r="F15" s="6">
        <v>46189</v>
      </c>
      <c r="G15" s="8">
        <v>46189.4375</v>
      </c>
      <c r="H15" s="8">
        <v>46189.458333333336</v>
      </c>
      <c r="I15" s="5" t="s">
        <v>78</v>
      </c>
      <c r="J15" s="5" t="s">
        <v>14</v>
      </c>
      <c r="K15" s="5" t="s">
        <v>3</v>
      </c>
      <c r="L15" s="8"/>
      <c r="M15" s="8"/>
      <c r="N15" s="10" t="str">
        <f t="shared" si="0"/>
        <v/>
      </c>
      <c r="O15" s="5" t="s">
        <v>123</v>
      </c>
      <c r="P15" s="5" t="s">
        <v>94</v>
      </c>
      <c r="Q15" s="5" t="s">
        <v>72</v>
      </c>
      <c r="R15" s="5" t="s">
        <v>147</v>
      </c>
    </row>
    <row r="16" spans="1:18" ht="21.15" customHeight="1">
      <c r="A16" s="5" t="s">
        <v>148</v>
      </c>
      <c r="B16" s="5" t="s">
        <v>149</v>
      </c>
      <c r="C16" s="5" t="s">
        <v>150</v>
      </c>
      <c r="D16" s="5" t="s">
        <v>23</v>
      </c>
      <c r="E16" s="5" t="s">
        <v>107</v>
      </c>
      <c r="F16" s="6">
        <v>46189</v>
      </c>
      <c r="G16" s="8">
        <v>46189.465277777781</v>
      </c>
      <c r="H16" s="8">
        <v>46189.475694444445</v>
      </c>
      <c r="I16" s="5" t="s">
        <v>108</v>
      </c>
      <c r="J16" s="5" t="s">
        <v>69</v>
      </c>
      <c r="K16" s="5" t="s">
        <v>20</v>
      </c>
      <c r="L16" s="8"/>
      <c r="M16" s="8"/>
      <c r="N16" s="10" t="str">
        <f t="shared" si="0"/>
        <v/>
      </c>
      <c r="O16" s="5" t="s">
        <v>109</v>
      </c>
      <c r="P16" s="5" t="s">
        <v>71</v>
      </c>
      <c r="Q16" s="5" t="s">
        <v>72</v>
      </c>
      <c r="R16" s="5" t="s">
        <v>151</v>
      </c>
    </row>
    <row r="17" spans="1:18" ht="12" customHeight="1">
      <c r="A17" s="5" t="s">
        <v>152</v>
      </c>
      <c r="B17" s="5" t="s">
        <v>153</v>
      </c>
      <c r="C17" s="5" t="s">
        <v>154</v>
      </c>
      <c r="D17" s="5" t="s">
        <v>17</v>
      </c>
      <c r="E17" s="5" t="s">
        <v>91</v>
      </c>
      <c r="F17" s="6">
        <v>46189</v>
      </c>
      <c r="G17" s="8">
        <v>46189.520833333336</v>
      </c>
      <c r="H17" s="8">
        <v>46189.534722222219</v>
      </c>
      <c r="I17" s="5" t="s">
        <v>92</v>
      </c>
      <c r="J17" s="5" t="s">
        <v>69</v>
      </c>
      <c r="K17" s="5" t="s">
        <v>3</v>
      </c>
      <c r="L17" s="8"/>
      <c r="M17" s="8"/>
      <c r="N17" s="10" t="str">
        <f t="shared" si="0"/>
        <v/>
      </c>
      <c r="O17" s="5" t="s">
        <v>155</v>
      </c>
      <c r="P17" s="5" t="s">
        <v>94</v>
      </c>
      <c r="Q17" s="5" t="s">
        <v>95</v>
      </c>
      <c r="R17" s="5" t="s">
        <v>156</v>
      </c>
    </row>
    <row r="18" spans="1:18" ht="12" customHeight="1">
      <c r="A18" s="5" t="s">
        <v>157</v>
      </c>
      <c r="B18" s="5" t="s">
        <v>158</v>
      </c>
      <c r="C18" s="5" t="s">
        <v>159</v>
      </c>
      <c r="D18" s="5" t="s">
        <v>16</v>
      </c>
      <c r="E18" s="5" t="s">
        <v>132</v>
      </c>
      <c r="F18" s="6">
        <v>46189</v>
      </c>
      <c r="G18" s="8">
        <v>46189.541666666664</v>
      </c>
      <c r="H18" s="8">
        <v>46189.555555555555</v>
      </c>
      <c r="I18" s="5" t="s">
        <v>114</v>
      </c>
      <c r="J18" s="5" t="s">
        <v>69</v>
      </c>
      <c r="K18" s="5" t="s">
        <v>4</v>
      </c>
      <c r="L18" s="8">
        <v>46189.536111111112</v>
      </c>
      <c r="M18" s="8">
        <v>46189.545138888891</v>
      </c>
      <c r="N18" s="10">
        <f t="shared" si="0"/>
        <v>13</v>
      </c>
      <c r="O18" s="5" t="s">
        <v>133</v>
      </c>
      <c r="P18" s="5" t="s">
        <v>71</v>
      </c>
      <c r="Q18" s="5" t="s">
        <v>72</v>
      </c>
      <c r="R18" s="5" t="s">
        <v>160</v>
      </c>
    </row>
    <row r="19" spans="1:18" ht="12" customHeight="1">
      <c r="A19" s="5" t="s">
        <v>161</v>
      </c>
      <c r="B19" s="5" t="s">
        <v>162</v>
      </c>
      <c r="C19" s="5" t="s">
        <v>163</v>
      </c>
      <c r="D19" s="5" t="s">
        <v>19</v>
      </c>
      <c r="E19" s="5" t="s">
        <v>77</v>
      </c>
      <c r="F19" s="6">
        <v>46189</v>
      </c>
      <c r="G19" s="8">
        <v>46189.572916666664</v>
      </c>
      <c r="H19" s="8">
        <v>46189.583333333336</v>
      </c>
      <c r="I19" s="5" t="s">
        <v>78</v>
      </c>
      <c r="J19" s="5" t="s">
        <v>69</v>
      </c>
      <c r="K19" s="5" t="s">
        <v>6</v>
      </c>
      <c r="L19" s="8"/>
      <c r="M19" s="8"/>
      <c r="N19" s="10" t="str">
        <f t="shared" si="0"/>
        <v/>
      </c>
      <c r="O19" s="5" t="s">
        <v>79</v>
      </c>
      <c r="P19" s="5" t="s">
        <v>86</v>
      </c>
      <c r="Q19" s="5" t="s">
        <v>102</v>
      </c>
      <c r="R19" s="5" t="s">
        <v>164</v>
      </c>
    </row>
    <row r="20" spans="1:18" ht="12" customHeight="1">
      <c r="A20" s="5" t="s">
        <v>165</v>
      </c>
      <c r="B20" s="5" t="s">
        <v>166</v>
      </c>
      <c r="C20" s="5" t="s">
        <v>167</v>
      </c>
      <c r="D20" s="5" t="s">
        <v>18</v>
      </c>
      <c r="E20" s="5" t="s">
        <v>84</v>
      </c>
      <c r="F20" s="6">
        <v>46189</v>
      </c>
      <c r="G20" s="8">
        <v>46189.59375</v>
      </c>
      <c r="H20" s="8">
        <v>46189.614583333336</v>
      </c>
      <c r="I20" s="5" t="s">
        <v>78</v>
      </c>
      <c r="J20" s="5" t="s">
        <v>69</v>
      </c>
      <c r="K20" s="5" t="s">
        <v>3</v>
      </c>
      <c r="L20" s="8"/>
      <c r="M20" s="8"/>
      <c r="N20" s="10" t="str">
        <f t="shared" si="0"/>
        <v/>
      </c>
      <c r="O20" s="5" t="s">
        <v>85</v>
      </c>
      <c r="P20" s="5" t="s">
        <v>94</v>
      </c>
      <c r="Q20" s="5" t="s">
        <v>72</v>
      </c>
      <c r="R20" s="5" t="s">
        <v>168</v>
      </c>
    </row>
    <row r="21" spans="1:18" ht="12" customHeight="1">
      <c r="A21" s="5" t="s">
        <v>169</v>
      </c>
      <c r="B21" s="5" t="s">
        <v>170</v>
      </c>
      <c r="C21" s="5" t="s">
        <v>171</v>
      </c>
      <c r="D21" s="5" t="s">
        <v>21</v>
      </c>
      <c r="E21" s="5" t="s">
        <v>100</v>
      </c>
      <c r="F21" s="6">
        <v>46189</v>
      </c>
      <c r="G21" s="8">
        <v>46189.625</v>
      </c>
      <c r="H21" s="8">
        <v>46189.635416666664</v>
      </c>
      <c r="I21" s="5" t="s">
        <v>101</v>
      </c>
      <c r="J21" s="5" t="s">
        <v>14</v>
      </c>
      <c r="K21" s="5" t="s">
        <v>3</v>
      </c>
      <c r="L21" s="8"/>
      <c r="M21" s="8"/>
      <c r="N21" s="10" t="str">
        <f t="shared" si="0"/>
        <v/>
      </c>
      <c r="O21" s="5" t="s">
        <v>41</v>
      </c>
      <c r="P21" s="5" t="s">
        <v>172</v>
      </c>
      <c r="Q21" s="5" t="s">
        <v>102</v>
      </c>
      <c r="R21" s="5" t="s">
        <v>173</v>
      </c>
    </row>
    <row r="22" spans="1:18" ht="12" customHeight="1">
      <c r="F22" s="7"/>
      <c r="G22" s="9"/>
      <c r="H22" s="9"/>
      <c r="L22" s="9"/>
      <c r="M22" s="9"/>
      <c r="N22" s="11"/>
    </row>
    <row r="23" spans="1:18" ht="12" customHeight="1">
      <c r="F23" s="7"/>
      <c r="G23" s="9"/>
      <c r="H23" s="9"/>
      <c r="L23" s="9"/>
      <c r="M23" s="9"/>
      <c r="N23" s="11"/>
    </row>
    <row r="24" spans="1:18" ht="12" customHeight="1">
      <c r="F24" s="7"/>
      <c r="G24" s="9"/>
      <c r="H24" s="9"/>
      <c r="L24" s="9"/>
      <c r="M24" s="9"/>
      <c r="N24" s="11"/>
    </row>
    <row r="25" spans="1:18" ht="12" customHeight="1">
      <c r="F25" s="7"/>
      <c r="G25" s="9"/>
      <c r="H25" s="9"/>
      <c r="L25" s="9"/>
      <c r="M25" s="9"/>
      <c r="N25" s="11"/>
    </row>
    <row r="26" spans="1:18" ht="12" customHeight="1">
      <c r="F26" s="7"/>
      <c r="G26" s="9"/>
      <c r="H26" s="9"/>
      <c r="L26" s="9"/>
      <c r="M26" s="9"/>
      <c r="N26" s="11"/>
    </row>
    <row r="27" spans="1:18" ht="12" customHeight="1">
      <c r="F27" s="7"/>
      <c r="G27" s="9"/>
      <c r="H27" s="9"/>
      <c r="L27" s="9"/>
      <c r="M27" s="9"/>
      <c r="N27" s="11"/>
    </row>
    <row r="28" spans="1:18" ht="12" customHeight="1">
      <c r="F28" s="7"/>
      <c r="G28" s="9"/>
      <c r="H28" s="9"/>
      <c r="L28" s="9"/>
      <c r="M28" s="9"/>
      <c r="N28" s="11"/>
    </row>
    <row r="29" spans="1:18" ht="12" customHeight="1">
      <c r="F29" s="7"/>
      <c r="G29" s="9"/>
      <c r="H29" s="9"/>
      <c r="L29" s="9"/>
      <c r="M29" s="9"/>
      <c r="N29" s="11"/>
    </row>
    <row r="30" spans="1:18" ht="12" customHeight="1">
      <c r="F30" s="7"/>
      <c r="G30" s="9"/>
      <c r="H30" s="9"/>
      <c r="L30" s="9"/>
      <c r="M30" s="9"/>
      <c r="N30" s="11"/>
    </row>
    <row r="31" spans="1:18" ht="12" customHeight="1">
      <c r="F31" s="7"/>
      <c r="G31" s="9"/>
      <c r="H31" s="9"/>
      <c r="L31" s="9"/>
      <c r="M31" s="9"/>
      <c r="N31" s="11"/>
    </row>
    <row r="32" spans="1:18" ht="12" customHeight="1">
      <c r="F32" s="7"/>
      <c r="G32" s="9"/>
      <c r="H32" s="9"/>
      <c r="L32" s="9"/>
      <c r="M32" s="9"/>
      <c r="N32" s="11"/>
    </row>
    <row r="33" spans="6:14" ht="12" customHeight="1">
      <c r="F33" s="7"/>
      <c r="G33" s="9"/>
      <c r="H33" s="9"/>
      <c r="L33" s="9"/>
      <c r="M33" s="9"/>
      <c r="N33" s="11"/>
    </row>
    <row r="34" spans="6:14" ht="12" customHeight="1">
      <c r="F34" s="7"/>
      <c r="G34" s="9"/>
      <c r="H34" s="9"/>
      <c r="L34" s="9"/>
      <c r="M34" s="9"/>
      <c r="N34" s="11"/>
    </row>
    <row r="35" spans="6:14" ht="12" customHeight="1">
      <c r="F35" s="7"/>
      <c r="G35" s="9"/>
      <c r="H35" s="9"/>
      <c r="L35" s="9"/>
      <c r="M35" s="9"/>
      <c r="N35" s="11"/>
    </row>
    <row r="36" spans="6:14" ht="12" customHeight="1">
      <c r="F36" s="7"/>
      <c r="G36" s="9"/>
      <c r="H36" s="9"/>
      <c r="L36" s="9"/>
      <c r="M36" s="9"/>
      <c r="N36" s="11"/>
    </row>
    <row r="37" spans="6:14" ht="12" customHeight="1">
      <c r="F37" s="7"/>
      <c r="G37" s="9"/>
      <c r="H37" s="9"/>
      <c r="L37" s="9"/>
      <c r="M37" s="9"/>
      <c r="N37" s="11"/>
    </row>
    <row r="38" spans="6:14" ht="12" customHeight="1">
      <c r="F38" s="7"/>
      <c r="G38" s="9"/>
      <c r="H38" s="9"/>
      <c r="L38" s="9"/>
      <c r="M38" s="9"/>
      <c r="N38" s="11"/>
    </row>
    <row r="39" spans="6:14" ht="12" customHeight="1">
      <c r="F39" s="7"/>
      <c r="G39" s="9"/>
      <c r="H39" s="9"/>
      <c r="L39" s="9"/>
      <c r="M39" s="9"/>
      <c r="N39" s="11"/>
    </row>
    <row r="40" spans="6:14" ht="12" customHeight="1">
      <c r="F40" s="7"/>
      <c r="G40" s="9"/>
      <c r="H40" s="9"/>
      <c r="L40" s="9"/>
      <c r="M40" s="9"/>
      <c r="N40" s="11"/>
    </row>
    <row r="41" spans="6:14" ht="12" customHeight="1">
      <c r="F41" s="7"/>
      <c r="G41" s="9"/>
      <c r="H41" s="9"/>
      <c r="L41" s="9"/>
      <c r="M41" s="9"/>
      <c r="N41" s="11"/>
    </row>
    <row r="42" spans="6:14" ht="12" customHeight="1">
      <c r="F42" s="7"/>
      <c r="G42" s="9"/>
      <c r="H42" s="9"/>
      <c r="L42" s="9"/>
      <c r="M42" s="9"/>
      <c r="N42" s="11"/>
    </row>
    <row r="43" spans="6:14" ht="12" customHeight="1">
      <c r="F43" s="7"/>
      <c r="G43" s="9"/>
      <c r="H43" s="9"/>
      <c r="L43" s="9"/>
      <c r="M43" s="9"/>
      <c r="N43" s="11"/>
    </row>
    <row r="44" spans="6:14" ht="12" customHeight="1">
      <c r="F44" s="7"/>
      <c r="G44" s="9"/>
      <c r="H44" s="9"/>
      <c r="L44" s="9"/>
      <c r="M44" s="9"/>
      <c r="N44" s="11"/>
    </row>
    <row r="45" spans="6:14" ht="12" customHeight="1">
      <c r="F45" s="7"/>
      <c r="G45" s="9"/>
      <c r="H45" s="9"/>
      <c r="L45" s="9"/>
      <c r="M45" s="9"/>
      <c r="N45" s="11"/>
    </row>
    <row r="46" spans="6:14" ht="12" customHeight="1">
      <c r="F46" s="7"/>
      <c r="G46" s="9"/>
      <c r="H46" s="9"/>
      <c r="L46" s="9"/>
      <c r="M46" s="9"/>
      <c r="N46" s="11"/>
    </row>
    <row r="47" spans="6:14" ht="12" customHeight="1">
      <c r="F47" s="7"/>
      <c r="G47" s="9"/>
      <c r="H47" s="9"/>
      <c r="L47" s="9"/>
      <c r="M47" s="9"/>
      <c r="N47" s="11"/>
    </row>
    <row r="48" spans="6:14" ht="12" customHeight="1">
      <c r="F48" s="7"/>
      <c r="G48" s="9"/>
      <c r="H48" s="9"/>
      <c r="L48" s="9"/>
      <c r="M48" s="9"/>
      <c r="N48" s="11"/>
    </row>
    <row r="49" spans="6:14" ht="12" customHeight="1">
      <c r="F49" s="7"/>
      <c r="G49" s="9"/>
      <c r="H49" s="9"/>
      <c r="L49" s="9"/>
      <c r="M49" s="9"/>
      <c r="N49" s="11"/>
    </row>
    <row r="50" spans="6:14" ht="12" customHeight="1">
      <c r="F50" s="7"/>
      <c r="G50" s="9"/>
      <c r="H50" s="9"/>
      <c r="L50" s="9"/>
      <c r="M50" s="9"/>
      <c r="N50" s="11"/>
    </row>
    <row r="51" spans="6:14" ht="12" customHeight="1">
      <c r="F51" s="7"/>
      <c r="G51" s="9"/>
      <c r="H51" s="9"/>
      <c r="L51" s="9"/>
      <c r="M51" s="9"/>
      <c r="N51" s="11"/>
    </row>
    <row r="52" spans="6:14" ht="12" customHeight="1">
      <c r="F52" s="7"/>
      <c r="G52" s="9"/>
      <c r="H52" s="9"/>
      <c r="L52" s="9"/>
      <c r="M52" s="9"/>
      <c r="N52" s="11"/>
    </row>
    <row r="53" spans="6:14" ht="12" customHeight="1">
      <c r="F53" s="7"/>
      <c r="G53" s="9"/>
      <c r="H53" s="9"/>
      <c r="L53" s="9"/>
      <c r="M53" s="9"/>
      <c r="N53" s="11"/>
    </row>
    <row r="54" spans="6:14" ht="12" customHeight="1">
      <c r="F54" s="7"/>
      <c r="G54" s="9"/>
      <c r="H54" s="9"/>
      <c r="L54" s="9"/>
      <c r="M54" s="9"/>
      <c r="N54" s="11"/>
    </row>
    <row r="55" spans="6:14" ht="12" customHeight="1">
      <c r="F55" s="7"/>
      <c r="G55" s="9"/>
      <c r="H55" s="9"/>
      <c r="L55" s="9"/>
      <c r="M55" s="9"/>
      <c r="N55" s="11"/>
    </row>
    <row r="56" spans="6:14" ht="12" customHeight="1">
      <c r="F56" s="7"/>
      <c r="G56" s="9"/>
      <c r="H56" s="9"/>
      <c r="L56" s="9"/>
      <c r="M56" s="9"/>
      <c r="N56" s="11"/>
    </row>
    <row r="57" spans="6:14" ht="12" customHeight="1">
      <c r="F57" s="7"/>
      <c r="G57" s="9"/>
      <c r="H57" s="9"/>
      <c r="L57" s="9"/>
      <c r="M57" s="9"/>
      <c r="N57" s="11"/>
    </row>
    <row r="58" spans="6:14" ht="12" customHeight="1">
      <c r="F58" s="7"/>
      <c r="G58" s="9"/>
      <c r="H58" s="9"/>
      <c r="L58" s="9"/>
      <c r="M58" s="9"/>
      <c r="N58" s="11"/>
    </row>
    <row r="59" spans="6:14" ht="12" customHeight="1">
      <c r="F59" s="7"/>
      <c r="G59" s="9"/>
      <c r="H59" s="9"/>
      <c r="L59" s="9"/>
      <c r="M59" s="9"/>
      <c r="N59" s="11"/>
    </row>
    <row r="60" spans="6:14" ht="12" customHeight="1">
      <c r="F60" s="7"/>
      <c r="G60" s="9"/>
      <c r="H60" s="9"/>
      <c r="L60" s="9"/>
      <c r="M60" s="9"/>
      <c r="N60" s="11"/>
    </row>
    <row r="61" spans="6:14" ht="12" customHeight="1">
      <c r="F61" s="7"/>
      <c r="G61" s="9"/>
      <c r="H61" s="9"/>
      <c r="L61" s="9"/>
      <c r="M61" s="9"/>
      <c r="N61" s="11"/>
    </row>
    <row r="62" spans="6:14" ht="12" customHeight="1">
      <c r="F62" s="7"/>
      <c r="G62" s="9"/>
      <c r="H62" s="9"/>
      <c r="L62" s="9"/>
      <c r="M62" s="9"/>
      <c r="N62" s="11"/>
    </row>
    <row r="63" spans="6:14" ht="12" customHeight="1">
      <c r="F63" s="7"/>
      <c r="G63" s="9"/>
      <c r="H63" s="9"/>
      <c r="L63" s="9"/>
      <c r="M63" s="9"/>
      <c r="N63" s="11"/>
    </row>
    <row r="64" spans="6:14" ht="12" customHeight="1">
      <c r="F64" s="7"/>
      <c r="G64" s="9"/>
      <c r="H64" s="9"/>
      <c r="L64" s="9"/>
      <c r="M64" s="9"/>
      <c r="N64" s="11"/>
    </row>
    <row r="65" spans="6:14" ht="12" customHeight="1">
      <c r="F65" s="7"/>
      <c r="G65" s="9"/>
      <c r="H65" s="9"/>
      <c r="L65" s="9"/>
      <c r="M65" s="9"/>
      <c r="N65" s="11"/>
    </row>
    <row r="66" spans="6:14" ht="12" customHeight="1">
      <c r="F66" s="7"/>
      <c r="G66" s="9"/>
      <c r="H66" s="9"/>
      <c r="L66" s="9"/>
      <c r="M66" s="9"/>
      <c r="N66" s="11"/>
    </row>
    <row r="67" spans="6:14" ht="12" customHeight="1">
      <c r="F67" s="7"/>
      <c r="G67" s="9"/>
      <c r="H67" s="9"/>
      <c r="L67" s="9"/>
      <c r="M67" s="9"/>
      <c r="N67" s="11"/>
    </row>
    <row r="68" spans="6:14" ht="12" customHeight="1">
      <c r="F68" s="7"/>
      <c r="G68" s="9"/>
      <c r="H68" s="9"/>
      <c r="L68" s="9"/>
      <c r="M68" s="9"/>
      <c r="N68" s="11"/>
    </row>
    <row r="69" spans="6:14" ht="12" customHeight="1">
      <c r="F69" s="7"/>
      <c r="G69" s="9"/>
      <c r="H69" s="9"/>
      <c r="L69" s="9"/>
      <c r="M69" s="9"/>
      <c r="N69" s="11"/>
    </row>
    <row r="70" spans="6:14" ht="12" customHeight="1">
      <c r="F70" s="7"/>
      <c r="G70" s="9"/>
      <c r="H70" s="9"/>
      <c r="L70" s="9"/>
      <c r="M70" s="9"/>
      <c r="N70" s="11"/>
    </row>
    <row r="71" spans="6:14" ht="12" customHeight="1">
      <c r="F71" s="7"/>
      <c r="G71" s="9"/>
      <c r="H71" s="9"/>
      <c r="L71" s="9"/>
      <c r="M71" s="9"/>
      <c r="N71" s="11"/>
    </row>
    <row r="72" spans="6:14" ht="12" customHeight="1">
      <c r="F72" s="7"/>
      <c r="G72" s="9"/>
      <c r="H72" s="9"/>
      <c r="L72" s="9"/>
      <c r="M72" s="9"/>
      <c r="N72" s="11"/>
    </row>
    <row r="73" spans="6:14" ht="12" customHeight="1">
      <c r="F73" s="7"/>
      <c r="G73" s="9"/>
      <c r="H73" s="9"/>
      <c r="L73" s="9"/>
      <c r="M73" s="9"/>
      <c r="N73" s="11"/>
    </row>
    <row r="74" spans="6:14" ht="12" customHeight="1">
      <c r="F74" s="7"/>
      <c r="G74" s="9"/>
      <c r="H74" s="9"/>
      <c r="L74" s="9"/>
      <c r="M74" s="9"/>
      <c r="N74" s="11"/>
    </row>
    <row r="75" spans="6:14" ht="12" customHeight="1">
      <c r="F75" s="7"/>
      <c r="G75" s="9"/>
      <c r="H75" s="9"/>
      <c r="L75" s="9"/>
      <c r="M75" s="9"/>
      <c r="N75" s="11"/>
    </row>
    <row r="76" spans="6:14" ht="12" customHeight="1">
      <c r="F76" s="7"/>
      <c r="G76" s="9"/>
      <c r="H76" s="9"/>
      <c r="L76" s="9"/>
      <c r="M76" s="9"/>
      <c r="N76" s="11"/>
    </row>
    <row r="77" spans="6:14" ht="12" customHeight="1">
      <c r="F77" s="7"/>
      <c r="G77" s="9"/>
      <c r="H77" s="9"/>
      <c r="L77" s="9"/>
      <c r="M77" s="9"/>
      <c r="N77" s="11"/>
    </row>
    <row r="78" spans="6:14" ht="12" customHeight="1">
      <c r="F78" s="7"/>
      <c r="G78" s="9"/>
      <c r="H78" s="9"/>
      <c r="L78" s="9"/>
      <c r="M78" s="9"/>
      <c r="N78" s="11"/>
    </row>
    <row r="79" spans="6:14" ht="12" customHeight="1">
      <c r="F79" s="7"/>
      <c r="G79" s="9"/>
      <c r="H79" s="9"/>
      <c r="L79" s="9"/>
      <c r="M79" s="9"/>
      <c r="N79" s="11"/>
    </row>
    <row r="80" spans="6:14" ht="12" customHeight="1">
      <c r="F80" s="7"/>
      <c r="G80" s="9"/>
      <c r="H80" s="9"/>
      <c r="L80" s="9"/>
      <c r="M80" s="9"/>
      <c r="N80" s="11"/>
    </row>
    <row r="81" spans="6:14" ht="12" customHeight="1">
      <c r="F81" s="7"/>
      <c r="G81" s="9"/>
      <c r="H81" s="9"/>
      <c r="L81" s="9"/>
      <c r="M81" s="9"/>
      <c r="N81" s="11"/>
    </row>
    <row r="82" spans="6:14" ht="12" customHeight="1">
      <c r="F82" s="7"/>
      <c r="G82" s="9"/>
      <c r="H82" s="9"/>
      <c r="L82" s="9"/>
      <c r="M82" s="9"/>
      <c r="N82" s="11"/>
    </row>
    <row r="83" spans="6:14" ht="12" customHeight="1">
      <c r="F83" s="7"/>
      <c r="G83" s="9"/>
      <c r="H83" s="9"/>
      <c r="L83" s="9"/>
      <c r="M83" s="9"/>
      <c r="N83" s="11"/>
    </row>
    <row r="84" spans="6:14" ht="12" customHeight="1">
      <c r="F84" s="7"/>
      <c r="G84" s="9"/>
      <c r="H84" s="9"/>
      <c r="L84" s="9"/>
      <c r="M84" s="9"/>
      <c r="N84" s="11"/>
    </row>
    <row r="85" spans="6:14" ht="12" customHeight="1">
      <c r="F85" s="7"/>
      <c r="G85" s="9"/>
      <c r="H85" s="9"/>
      <c r="L85" s="9"/>
      <c r="M85" s="9"/>
      <c r="N85" s="11"/>
    </row>
    <row r="86" spans="6:14" ht="12" customHeight="1">
      <c r="F86" s="7"/>
      <c r="G86" s="9"/>
      <c r="H86" s="9"/>
      <c r="L86" s="9"/>
      <c r="M86" s="9"/>
      <c r="N86" s="11"/>
    </row>
    <row r="87" spans="6:14" ht="12" customHeight="1">
      <c r="F87" s="7"/>
      <c r="G87" s="9"/>
      <c r="H87" s="9"/>
      <c r="L87" s="9"/>
      <c r="M87" s="9"/>
      <c r="N87" s="11"/>
    </row>
    <row r="88" spans="6:14" ht="12" customHeight="1">
      <c r="F88" s="7"/>
      <c r="G88" s="9"/>
      <c r="H88" s="9"/>
      <c r="L88" s="9"/>
      <c r="M88" s="9"/>
      <c r="N88" s="11"/>
    </row>
    <row r="89" spans="6:14" ht="12" customHeight="1">
      <c r="F89" s="7"/>
      <c r="G89" s="9"/>
      <c r="H89" s="9"/>
      <c r="L89" s="9"/>
      <c r="M89" s="9"/>
      <c r="N89" s="11"/>
    </row>
    <row r="90" spans="6:14" ht="12" customHeight="1">
      <c r="F90" s="7"/>
      <c r="G90" s="9"/>
      <c r="H90" s="9"/>
      <c r="L90" s="9"/>
      <c r="M90" s="9"/>
      <c r="N90" s="11"/>
    </row>
    <row r="91" spans="6:14" ht="12" customHeight="1">
      <c r="F91" s="7"/>
      <c r="G91" s="9"/>
      <c r="H91" s="9"/>
      <c r="L91" s="9"/>
      <c r="M91" s="9"/>
      <c r="N91" s="11"/>
    </row>
    <row r="92" spans="6:14" ht="12" customHeight="1">
      <c r="F92" s="7"/>
      <c r="G92" s="9"/>
      <c r="H92" s="9"/>
      <c r="L92" s="9"/>
      <c r="M92" s="9"/>
      <c r="N92" s="11"/>
    </row>
    <row r="93" spans="6:14" ht="12" customHeight="1">
      <c r="F93" s="7"/>
      <c r="G93" s="9"/>
      <c r="H93" s="9"/>
      <c r="L93" s="9"/>
      <c r="M93" s="9"/>
      <c r="N93" s="11"/>
    </row>
    <row r="94" spans="6:14" ht="12" customHeight="1">
      <c r="F94" s="7"/>
      <c r="G94" s="9"/>
      <c r="H94" s="9"/>
      <c r="L94" s="9"/>
      <c r="M94" s="9"/>
      <c r="N94" s="11"/>
    </row>
    <row r="95" spans="6:14" ht="12" customHeight="1">
      <c r="F95" s="7"/>
      <c r="G95" s="9"/>
      <c r="H95" s="9"/>
      <c r="L95" s="9"/>
      <c r="M95" s="9"/>
      <c r="N95" s="11"/>
    </row>
    <row r="96" spans="6:14" ht="12" customHeight="1">
      <c r="F96" s="7"/>
      <c r="G96" s="9"/>
      <c r="H96" s="9"/>
      <c r="L96" s="9"/>
      <c r="M96" s="9"/>
      <c r="N96" s="11"/>
    </row>
    <row r="97" spans="6:14" ht="12" customHeight="1">
      <c r="F97" s="7"/>
      <c r="G97" s="9"/>
      <c r="H97" s="9"/>
      <c r="L97" s="9"/>
      <c r="M97" s="9"/>
      <c r="N97" s="11"/>
    </row>
    <row r="98" spans="6:14" ht="12" customHeight="1">
      <c r="F98" s="7"/>
      <c r="G98" s="9"/>
      <c r="H98" s="9"/>
      <c r="L98" s="9"/>
      <c r="M98" s="9"/>
      <c r="N98" s="11"/>
    </row>
    <row r="99" spans="6:14" ht="12" customHeight="1">
      <c r="F99" s="7"/>
      <c r="G99" s="9"/>
      <c r="H99" s="9"/>
      <c r="L99" s="9"/>
      <c r="M99" s="9"/>
      <c r="N99" s="11"/>
    </row>
    <row r="100" spans="6:14" ht="12" customHeight="1">
      <c r="F100" s="7"/>
      <c r="G100" s="9"/>
      <c r="H100" s="9"/>
      <c r="L100" s="9"/>
      <c r="M100" s="9"/>
      <c r="N100" s="11"/>
    </row>
    <row r="101" spans="6:14" ht="12" customHeight="1">
      <c r="F101" s="7"/>
      <c r="G101" s="9"/>
      <c r="H101" s="9"/>
      <c r="L101" s="9"/>
      <c r="M101" s="9"/>
      <c r="N101" s="11"/>
    </row>
    <row r="102" spans="6:14" ht="12" customHeight="1">
      <c r="F102" s="7"/>
      <c r="G102" s="9"/>
      <c r="H102" s="9"/>
      <c r="L102" s="9"/>
      <c r="M102" s="9"/>
      <c r="N102" s="11"/>
    </row>
    <row r="103" spans="6:14" ht="12" customHeight="1">
      <c r="F103" s="7"/>
      <c r="G103" s="9"/>
      <c r="H103" s="9"/>
      <c r="L103" s="9"/>
      <c r="M103" s="9"/>
      <c r="N103" s="11"/>
    </row>
    <row r="104" spans="6:14" ht="12" customHeight="1">
      <c r="F104" s="7"/>
      <c r="G104" s="9"/>
      <c r="H104" s="9"/>
      <c r="L104" s="9"/>
      <c r="M104" s="9"/>
      <c r="N104" s="11"/>
    </row>
    <row r="105" spans="6:14" ht="12" customHeight="1">
      <c r="F105" s="7"/>
      <c r="G105" s="9"/>
      <c r="H105" s="9"/>
      <c r="L105" s="9"/>
      <c r="M105" s="9"/>
      <c r="N105" s="11"/>
    </row>
    <row r="106" spans="6:14" ht="12" customHeight="1">
      <c r="F106" s="7"/>
      <c r="G106" s="9"/>
      <c r="H106" s="9"/>
      <c r="L106" s="9"/>
      <c r="M106" s="9"/>
      <c r="N106" s="11"/>
    </row>
    <row r="107" spans="6:14" ht="12" customHeight="1">
      <c r="F107" s="7"/>
      <c r="G107" s="9"/>
      <c r="H107" s="9"/>
      <c r="L107" s="9"/>
      <c r="M107" s="9"/>
      <c r="N107" s="11"/>
    </row>
    <row r="108" spans="6:14" ht="12" customHeight="1">
      <c r="F108" s="7"/>
      <c r="G108" s="9"/>
      <c r="H108" s="9"/>
      <c r="L108" s="9"/>
      <c r="M108" s="9"/>
      <c r="N108" s="11"/>
    </row>
    <row r="109" spans="6:14" ht="12" customHeight="1">
      <c r="F109" s="7"/>
      <c r="G109" s="9"/>
      <c r="H109" s="9"/>
      <c r="L109" s="9"/>
      <c r="M109" s="9"/>
      <c r="N109" s="11"/>
    </row>
    <row r="110" spans="6:14" ht="12" customHeight="1">
      <c r="F110" s="7"/>
      <c r="G110" s="9"/>
      <c r="H110" s="9"/>
      <c r="L110" s="9"/>
      <c r="M110" s="9"/>
      <c r="N110" s="11"/>
    </row>
    <row r="111" spans="6:14" ht="12" customHeight="1">
      <c r="F111" s="7"/>
      <c r="G111" s="9"/>
      <c r="H111" s="9"/>
      <c r="L111" s="9"/>
      <c r="M111" s="9"/>
      <c r="N111" s="11"/>
    </row>
    <row r="112" spans="6:14" ht="12" customHeight="1">
      <c r="F112" s="7"/>
      <c r="G112" s="9"/>
      <c r="H112" s="9"/>
      <c r="L112" s="9"/>
      <c r="M112" s="9"/>
      <c r="N112" s="11"/>
    </row>
    <row r="113" spans="6:14" ht="12" customHeight="1">
      <c r="F113" s="7"/>
      <c r="G113" s="9"/>
      <c r="H113" s="9"/>
      <c r="L113" s="9"/>
      <c r="M113" s="9"/>
      <c r="N113" s="11"/>
    </row>
    <row r="114" spans="6:14" ht="12" customHeight="1">
      <c r="F114" s="7"/>
      <c r="G114" s="9"/>
      <c r="H114" s="9"/>
      <c r="L114" s="9"/>
      <c r="M114" s="9"/>
      <c r="N114" s="11"/>
    </row>
    <row r="115" spans="6:14" ht="12" customHeight="1">
      <c r="F115" s="7"/>
      <c r="G115" s="9"/>
      <c r="H115" s="9"/>
      <c r="L115" s="9"/>
      <c r="M115" s="9"/>
      <c r="N115" s="11"/>
    </row>
    <row r="116" spans="6:14" ht="12" customHeight="1">
      <c r="F116" s="7"/>
      <c r="G116" s="9"/>
      <c r="H116" s="9"/>
      <c r="L116" s="9"/>
      <c r="M116" s="9"/>
      <c r="N116" s="11"/>
    </row>
    <row r="117" spans="6:14" ht="12" customHeight="1">
      <c r="F117" s="7"/>
      <c r="G117" s="9"/>
      <c r="H117" s="9"/>
      <c r="L117" s="9"/>
      <c r="M117" s="9"/>
      <c r="N117" s="11"/>
    </row>
    <row r="118" spans="6:14" ht="12" customHeight="1">
      <c r="F118" s="7"/>
      <c r="G118" s="9"/>
      <c r="H118" s="9"/>
      <c r="L118" s="9"/>
      <c r="M118" s="9"/>
      <c r="N118" s="11"/>
    </row>
    <row r="119" spans="6:14" ht="12" customHeight="1">
      <c r="F119" s="7"/>
      <c r="G119" s="9"/>
      <c r="H119" s="9"/>
      <c r="L119" s="9"/>
      <c r="M119" s="9"/>
      <c r="N119" s="11"/>
    </row>
    <row r="120" spans="6:14" ht="12" customHeight="1">
      <c r="F120" s="7"/>
      <c r="G120" s="9"/>
      <c r="H120" s="9"/>
      <c r="L120" s="9"/>
      <c r="M120" s="9"/>
      <c r="N120" s="11"/>
    </row>
    <row r="121" spans="6:14" ht="12" customHeight="1">
      <c r="F121" s="7"/>
      <c r="G121" s="9"/>
      <c r="H121" s="9"/>
      <c r="L121" s="9"/>
      <c r="M121" s="9"/>
      <c r="N121" s="11"/>
    </row>
    <row r="122" spans="6:14" ht="12" customHeight="1">
      <c r="F122" s="7"/>
      <c r="G122" s="9"/>
      <c r="H122" s="9"/>
      <c r="L122" s="9"/>
      <c r="M122" s="9"/>
      <c r="N122" s="11"/>
    </row>
    <row r="123" spans="6:14" ht="12" customHeight="1">
      <c r="F123" s="7"/>
      <c r="G123" s="9"/>
      <c r="H123" s="9"/>
      <c r="L123" s="9"/>
      <c r="M123" s="9"/>
      <c r="N123" s="11"/>
    </row>
    <row r="124" spans="6:14" ht="12" customHeight="1">
      <c r="F124" s="7"/>
      <c r="G124" s="9"/>
      <c r="H124" s="9"/>
      <c r="L124" s="9"/>
      <c r="M124" s="9"/>
      <c r="N124" s="11"/>
    </row>
    <row r="125" spans="6:14" ht="12" customHeight="1">
      <c r="F125" s="7"/>
      <c r="G125" s="9"/>
      <c r="H125" s="9"/>
      <c r="L125" s="9"/>
      <c r="M125" s="9"/>
      <c r="N125" s="11"/>
    </row>
    <row r="126" spans="6:14" ht="12" customHeight="1">
      <c r="F126" s="7"/>
      <c r="G126" s="9"/>
      <c r="H126" s="9"/>
      <c r="L126" s="9"/>
      <c r="M126" s="9"/>
      <c r="N126" s="11"/>
    </row>
    <row r="127" spans="6:14" ht="12" customHeight="1">
      <c r="F127" s="7"/>
      <c r="G127" s="9"/>
      <c r="H127" s="9"/>
      <c r="L127" s="9"/>
      <c r="M127" s="9"/>
      <c r="N127" s="11"/>
    </row>
    <row r="128" spans="6:14" ht="12" customHeight="1">
      <c r="F128" s="7"/>
      <c r="G128" s="9"/>
      <c r="H128" s="9"/>
      <c r="L128" s="9"/>
      <c r="M128" s="9"/>
      <c r="N128" s="11"/>
    </row>
    <row r="129" spans="6:14" ht="12" customHeight="1">
      <c r="F129" s="7"/>
      <c r="G129" s="9"/>
      <c r="H129" s="9"/>
      <c r="L129" s="9"/>
      <c r="M129" s="9"/>
      <c r="N129" s="11"/>
    </row>
    <row r="130" spans="6:14" ht="12" customHeight="1">
      <c r="F130" s="7"/>
      <c r="G130" s="9"/>
      <c r="H130" s="9"/>
      <c r="L130" s="9"/>
      <c r="M130" s="9"/>
      <c r="N130" s="11"/>
    </row>
    <row r="131" spans="6:14" ht="12" customHeight="1">
      <c r="F131" s="7"/>
      <c r="G131" s="9"/>
      <c r="H131" s="9"/>
      <c r="L131" s="9"/>
      <c r="M131" s="9"/>
      <c r="N131" s="11"/>
    </row>
    <row r="132" spans="6:14" ht="12" customHeight="1">
      <c r="F132" s="7"/>
      <c r="G132" s="9"/>
      <c r="H132" s="9"/>
      <c r="L132" s="9"/>
      <c r="M132" s="9"/>
      <c r="N132" s="11"/>
    </row>
    <row r="133" spans="6:14" ht="12" customHeight="1">
      <c r="F133" s="7"/>
      <c r="G133" s="9"/>
      <c r="H133" s="9"/>
      <c r="L133" s="9"/>
      <c r="M133" s="9"/>
      <c r="N133" s="11"/>
    </row>
    <row r="134" spans="6:14" ht="12" customHeight="1">
      <c r="F134" s="7"/>
      <c r="G134" s="9"/>
      <c r="H134" s="9"/>
      <c r="L134" s="9"/>
      <c r="M134" s="9"/>
      <c r="N134" s="11"/>
    </row>
    <row r="135" spans="6:14" ht="12" customHeight="1">
      <c r="F135" s="7"/>
      <c r="G135" s="9"/>
      <c r="H135" s="9"/>
      <c r="L135" s="9"/>
      <c r="M135" s="9"/>
      <c r="N135" s="11"/>
    </row>
    <row r="136" spans="6:14" ht="12" customHeight="1">
      <c r="F136" s="7"/>
      <c r="G136" s="9"/>
      <c r="H136" s="9"/>
      <c r="L136" s="9"/>
      <c r="M136" s="9"/>
      <c r="N136" s="11"/>
    </row>
    <row r="137" spans="6:14" ht="12" customHeight="1">
      <c r="F137" s="7"/>
      <c r="G137" s="9"/>
      <c r="H137" s="9"/>
      <c r="L137" s="9"/>
      <c r="M137" s="9"/>
      <c r="N137" s="11"/>
    </row>
    <row r="138" spans="6:14" ht="12" customHeight="1">
      <c r="F138" s="7"/>
      <c r="G138" s="9"/>
      <c r="H138" s="9"/>
      <c r="L138" s="9"/>
      <c r="M138" s="9"/>
      <c r="N138" s="11"/>
    </row>
    <row r="139" spans="6:14" ht="12" customHeight="1">
      <c r="F139" s="7"/>
      <c r="G139" s="9"/>
      <c r="H139" s="9"/>
      <c r="L139" s="9"/>
      <c r="M139" s="9"/>
      <c r="N139" s="11"/>
    </row>
    <row r="140" spans="6:14" ht="12" customHeight="1">
      <c r="F140" s="7"/>
      <c r="G140" s="9"/>
      <c r="H140" s="9"/>
      <c r="L140" s="9"/>
      <c r="M140" s="9"/>
      <c r="N140" s="11"/>
    </row>
    <row r="141" spans="6:14" ht="12" customHeight="1">
      <c r="F141" s="7"/>
      <c r="G141" s="9"/>
      <c r="H141" s="9"/>
      <c r="L141" s="9"/>
      <c r="M141" s="9"/>
      <c r="N141" s="11"/>
    </row>
    <row r="142" spans="6:14" ht="12" customHeight="1">
      <c r="F142" s="7"/>
      <c r="G142" s="9"/>
      <c r="H142" s="9"/>
      <c r="L142" s="9"/>
      <c r="M142" s="9"/>
      <c r="N142" s="11"/>
    </row>
    <row r="143" spans="6:14" ht="12" customHeight="1">
      <c r="F143" s="7"/>
      <c r="G143" s="9"/>
      <c r="H143" s="9"/>
      <c r="L143" s="9"/>
      <c r="M143" s="9"/>
      <c r="N143" s="11"/>
    </row>
    <row r="144" spans="6:14" ht="12" customHeight="1">
      <c r="F144" s="7"/>
      <c r="G144" s="9"/>
      <c r="H144" s="9"/>
      <c r="L144" s="9"/>
      <c r="M144" s="9"/>
      <c r="N144" s="11"/>
    </row>
    <row r="145" spans="6:14" ht="12" customHeight="1">
      <c r="F145" s="7"/>
      <c r="G145" s="9"/>
      <c r="H145" s="9"/>
      <c r="L145" s="9"/>
      <c r="M145" s="9"/>
      <c r="N145" s="11"/>
    </row>
    <row r="146" spans="6:14" ht="12" customHeight="1">
      <c r="F146" s="7"/>
      <c r="G146" s="9"/>
      <c r="H146" s="9"/>
      <c r="L146" s="9"/>
      <c r="M146" s="9"/>
      <c r="N146" s="11"/>
    </row>
    <row r="147" spans="6:14" ht="12" customHeight="1">
      <c r="F147" s="7"/>
      <c r="G147" s="9"/>
      <c r="H147" s="9"/>
      <c r="L147" s="9"/>
      <c r="M147" s="9"/>
      <c r="N147" s="11"/>
    </row>
    <row r="148" spans="6:14" ht="12" customHeight="1">
      <c r="F148" s="7"/>
      <c r="G148" s="9"/>
      <c r="H148" s="9"/>
      <c r="L148" s="9"/>
      <c r="M148" s="9"/>
      <c r="N148" s="11"/>
    </row>
    <row r="149" spans="6:14" ht="12" customHeight="1">
      <c r="F149" s="7"/>
      <c r="G149" s="9"/>
      <c r="H149" s="9"/>
      <c r="L149" s="9"/>
      <c r="M149" s="9"/>
      <c r="N149" s="11"/>
    </row>
    <row r="150" spans="6:14" ht="12" customHeight="1">
      <c r="F150" s="7"/>
      <c r="G150" s="9"/>
      <c r="H150" s="9"/>
      <c r="L150" s="9"/>
      <c r="M150" s="9"/>
      <c r="N150" s="11"/>
    </row>
    <row r="151" spans="6:14" ht="12" customHeight="1">
      <c r="F151" s="7"/>
      <c r="G151" s="9"/>
      <c r="H151" s="9"/>
      <c r="L151" s="9"/>
      <c r="M151" s="9"/>
      <c r="N151" s="11"/>
    </row>
    <row r="152" spans="6:14" ht="12" customHeight="1">
      <c r="F152" s="7"/>
      <c r="G152" s="9"/>
      <c r="H152" s="9"/>
      <c r="L152" s="9"/>
      <c r="M152" s="9"/>
      <c r="N152" s="11"/>
    </row>
    <row r="153" spans="6:14" ht="12" customHeight="1">
      <c r="F153" s="7"/>
      <c r="G153" s="9"/>
      <c r="H153" s="9"/>
      <c r="L153" s="9"/>
      <c r="M153" s="9"/>
      <c r="N153" s="11"/>
    </row>
    <row r="154" spans="6:14" ht="12" customHeight="1">
      <c r="F154" s="7"/>
      <c r="G154" s="9"/>
      <c r="H154" s="9"/>
      <c r="L154" s="9"/>
      <c r="M154" s="9"/>
      <c r="N154" s="11"/>
    </row>
    <row r="155" spans="6:14" ht="12" customHeight="1">
      <c r="F155" s="7"/>
      <c r="G155" s="9"/>
      <c r="H155" s="9"/>
      <c r="L155" s="9"/>
      <c r="M155" s="9"/>
      <c r="N155" s="11"/>
    </row>
    <row r="156" spans="6:14" ht="12" customHeight="1">
      <c r="F156" s="7"/>
      <c r="G156" s="9"/>
      <c r="H156" s="9"/>
      <c r="L156" s="9"/>
      <c r="M156" s="9"/>
      <c r="N156" s="11"/>
    </row>
    <row r="157" spans="6:14" ht="12" customHeight="1">
      <c r="F157" s="7"/>
      <c r="G157" s="9"/>
      <c r="H157" s="9"/>
      <c r="L157" s="9"/>
      <c r="M157" s="9"/>
      <c r="N157" s="11"/>
    </row>
    <row r="158" spans="6:14" ht="12" customHeight="1">
      <c r="F158" s="7"/>
      <c r="G158" s="9"/>
      <c r="H158" s="9"/>
      <c r="L158" s="9"/>
      <c r="M158" s="9"/>
      <c r="N158" s="11"/>
    </row>
    <row r="159" spans="6:14" ht="12" customHeight="1">
      <c r="F159" s="7"/>
      <c r="G159" s="9"/>
      <c r="H159" s="9"/>
      <c r="L159" s="9"/>
      <c r="M159" s="9"/>
      <c r="N159" s="11"/>
    </row>
    <row r="160" spans="6:14" ht="12" customHeight="1">
      <c r="F160" s="7"/>
      <c r="G160" s="9"/>
      <c r="H160" s="9"/>
      <c r="L160" s="9"/>
      <c r="M160" s="9"/>
      <c r="N160" s="11"/>
    </row>
    <row r="161" spans="6:14" ht="12" customHeight="1">
      <c r="F161" s="7"/>
      <c r="G161" s="9"/>
      <c r="H161" s="9"/>
      <c r="L161" s="9"/>
      <c r="M161" s="9"/>
      <c r="N161" s="11"/>
    </row>
    <row r="162" spans="6:14" ht="12" customHeight="1">
      <c r="F162" s="7"/>
      <c r="G162" s="9"/>
      <c r="H162" s="9"/>
      <c r="L162" s="9"/>
      <c r="M162" s="9"/>
      <c r="N162" s="11"/>
    </row>
    <row r="163" spans="6:14" ht="12" customHeight="1">
      <c r="F163" s="7"/>
      <c r="G163" s="9"/>
      <c r="H163" s="9"/>
      <c r="L163" s="9"/>
      <c r="M163" s="9"/>
      <c r="N163" s="11"/>
    </row>
    <row r="164" spans="6:14" ht="12" customHeight="1">
      <c r="F164" s="7"/>
      <c r="G164" s="9"/>
      <c r="H164" s="9"/>
      <c r="L164" s="9"/>
      <c r="M164" s="9"/>
      <c r="N164" s="11"/>
    </row>
    <row r="165" spans="6:14" ht="12" customHeight="1">
      <c r="F165" s="7"/>
      <c r="G165" s="9"/>
      <c r="H165" s="9"/>
      <c r="L165" s="9"/>
      <c r="M165" s="9"/>
      <c r="N165" s="11"/>
    </row>
    <row r="166" spans="6:14" ht="12" customHeight="1">
      <c r="F166" s="7"/>
      <c r="G166" s="9"/>
      <c r="H166" s="9"/>
      <c r="L166" s="9"/>
      <c r="M166" s="9"/>
      <c r="N166" s="11"/>
    </row>
    <row r="167" spans="6:14" ht="12" customHeight="1">
      <c r="F167" s="7"/>
      <c r="G167" s="9"/>
      <c r="H167" s="9"/>
      <c r="L167" s="9"/>
      <c r="M167" s="9"/>
      <c r="N167" s="11"/>
    </row>
    <row r="168" spans="6:14" ht="12" customHeight="1">
      <c r="F168" s="7"/>
      <c r="G168" s="9"/>
      <c r="H168" s="9"/>
      <c r="L168" s="9"/>
      <c r="M168" s="9"/>
      <c r="N168" s="11"/>
    </row>
    <row r="169" spans="6:14" ht="12" customHeight="1">
      <c r="F169" s="7"/>
      <c r="G169" s="9"/>
      <c r="H169" s="9"/>
      <c r="L169" s="9"/>
      <c r="M169" s="9"/>
      <c r="N169" s="11"/>
    </row>
    <row r="170" spans="6:14" ht="12" customHeight="1">
      <c r="F170" s="7"/>
      <c r="G170" s="9"/>
      <c r="H170" s="9"/>
      <c r="L170" s="9"/>
      <c r="M170" s="9"/>
      <c r="N170" s="11"/>
    </row>
    <row r="171" spans="6:14" ht="12" customHeight="1">
      <c r="F171" s="7"/>
      <c r="G171" s="9"/>
      <c r="H171" s="9"/>
      <c r="L171" s="9"/>
      <c r="M171" s="9"/>
      <c r="N171" s="11"/>
    </row>
    <row r="172" spans="6:14" ht="12" customHeight="1">
      <c r="F172" s="7"/>
      <c r="G172" s="9"/>
      <c r="H172" s="9"/>
      <c r="L172" s="9"/>
      <c r="M172" s="9"/>
      <c r="N172" s="11"/>
    </row>
    <row r="173" spans="6:14" ht="12" customHeight="1">
      <c r="F173" s="7"/>
      <c r="G173" s="9"/>
      <c r="H173" s="9"/>
      <c r="L173" s="9"/>
      <c r="M173" s="9"/>
      <c r="N173" s="11"/>
    </row>
    <row r="174" spans="6:14" ht="12" customHeight="1">
      <c r="F174" s="7"/>
      <c r="G174" s="9"/>
      <c r="H174" s="9"/>
      <c r="L174" s="9"/>
      <c r="M174" s="9"/>
      <c r="N174" s="11"/>
    </row>
    <row r="175" spans="6:14" ht="12" customHeight="1">
      <c r="F175" s="7"/>
      <c r="G175" s="9"/>
      <c r="H175" s="9"/>
      <c r="L175" s="9"/>
      <c r="M175" s="9"/>
      <c r="N175" s="11"/>
    </row>
    <row r="176" spans="6:14" ht="12" customHeight="1">
      <c r="F176" s="7"/>
      <c r="G176" s="9"/>
      <c r="H176" s="9"/>
      <c r="L176" s="9"/>
      <c r="M176" s="9"/>
      <c r="N176" s="11"/>
    </row>
    <row r="177" spans="6:14" ht="12" customHeight="1">
      <c r="F177" s="7"/>
      <c r="G177" s="9"/>
      <c r="H177" s="9"/>
      <c r="L177" s="9"/>
      <c r="M177" s="9"/>
      <c r="N177" s="11"/>
    </row>
    <row r="178" spans="6:14" ht="12" customHeight="1">
      <c r="F178" s="7"/>
      <c r="G178" s="9"/>
      <c r="H178" s="9"/>
      <c r="L178" s="9"/>
      <c r="M178" s="9"/>
      <c r="N178" s="11"/>
    </row>
    <row r="179" spans="6:14" ht="12" customHeight="1">
      <c r="F179" s="7"/>
      <c r="G179" s="9"/>
      <c r="H179" s="9"/>
      <c r="L179" s="9"/>
      <c r="M179" s="9"/>
      <c r="N179" s="11"/>
    </row>
    <row r="180" spans="6:14" ht="12" customHeight="1">
      <c r="F180" s="7"/>
      <c r="G180" s="9"/>
      <c r="H180" s="9"/>
      <c r="L180" s="9"/>
      <c r="M180" s="9"/>
      <c r="N180" s="11"/>
    </row>
    <row r="181" spans="6:14" ht="12" customHeight="1">
      <c r="F181" s="7"/>
      <c r="G181" s="9"/>
      <c r="H181" s="9"/>
      <c r="L181" s="9"/>
      <c r="M181" s="9"/>
      <c r="N181" s="11"/>
    </row>
    <row r="182" spans="6:14" ht="12" customHeight="1">
      <c r="F182" s="7"/>
      <c r="G182" s="9"/>
      <c r="H182" s="9"/>
      <c r="L182" s="9"/>
      <c r="M182" s="9"/>
      <c r="N182" s="11"/>
    </row>
    <row r="183" spans="6:14" ht="12" customHeight="1">
      <c r="F183" s="7"/>
      <c r="G183" s="9"/>
      <c r="H183" s="9"/>
      <c r="L183" s="9"/>
      <c r="M183" s="9"/>
      <c r="N183" s="11"/>
    </row>
    <row r="184" spans="6:14" ht="12" customHeight="1">
      <c r="F184" s="7"/>
      <c r="G184" s="9"/>
      <c r="H184" s="9"/>
      <c r="L184" s="9"/>
      <c r="M184" s="9"/>
      <c r="N184" s="11"/>
    </row>
    <row r="185" spans="6:14" ht="12" customHeight="1">
      <c r="F185" s="7"/>
      <c r="G185" s="9"/>
      <c r="H185" s="9"/>
      <c r="L185" s="9"/>
      <c r="M185" s="9"/>
      <c r="N185" s="11"/>
    </row>
    <row r="186" spans="6:14" ht="12" customHeight="1">
      <c r="F186" s="7"/>
      <c r="G186" s="9"/>
      <c r="H186" s="9"/>
      <c r="L186" s="9"/>
      <c r="M186" s="9"/>
      <c r="N186" s="11"/>
    </row>
    <row r="187" spans="6:14" ht="12" customHeight="1">
      <c r="F187" s="7"/>
      <c r="G187" s="9"/>
      <c r="H187" s="9"/>
      <c r="L187" s="9"/>
      <c r="M187" s="9"/>
      <c r="N187" s="11"/>
    </row>
    <row r="188" spans="6:14" ht="12" customHeight="1">
      <c r="F188" s="7"/>
      <c r="G188" s="9"/>
      <c r="H188" s="9"/>
      <c r="L188" s="9"/>
      <c r="M188" s="9"/>
      <c r="N188" s="11"/>
    </row>
    <row r="189" spans="6:14" ht="12" customHeight="1">
      <c r="F189" s="7"/>
      <c r="G189" s="9"/>
      <c r="H189" s="9"/>
      <c r="L189" s="9"/>
      <c r="M189" s="9"/>
      <c r="N189" s="11"/>
    </row>
    <row r="190" spans="6:14" ht="12" customHeight="1">
      <c r="F190" s="7"/>
      <c r="G190" s="9"/>
      <c r="H190" s="9"/>
      <c r="L190" s="9"/>
      <c r="M190" s="9"/>
      <c r="N190" s="11"/>
    </row>
    <row r="191" spans="6:14" ht="12" customHeight="1">
      <c r="F191" s="7"/>
      <c r="G191" s="9"/>
      <c r="H191" s="9"/>
      <c r="L191" s="9"/>
      <c r="M191" s="9"/>
      <c r="N191" s="11"/>
    </row>
    <row r="192" spans="6:14" ht="12" customHeight="1">
      <c r="F192" s="7"/>
      <c r="G192" s="9"/>
      <c r="H192" s="9"/>
      <c r="L192" s="9"/>
      <c r="M192" s="9"/>
      <c r="N192" s="11"/>
    </row>
    <row r="193" spans="6:14" ht="12" customHeight="1">
      <c r="F193" s="7"/>
      <c r="G193" s="9"/>
      <c r="H193" s="9"/>
      <c r="L193" s="9"/>
      <c r="M193" s="9"/>
      <c r="N193" s="11"/>
    </row>
    <row r="194" spans="6:14" ht="12" customHeight="1">
      <c r="F194" s="7"/>
      <c r="G194" s="9"/>
      <c r="H194" s="9"/>
      <c r="L194" s="9"/>
      <c r="M194" s="9"/>
      <c r="N194" s="11"/>
    </row>
    <row r="195" spans="6:14" ht="12" customHeight="1">
      <c r="F195" s="7"/>
      <c r="G195" s="9"/>
      <c r="H195" s="9"/>
      <c r="L195" s="9"/>
      <c r="M195" s="9"/>
      <c r="N195" s="11"/>
    </row>
    <row r="196" spans="6:14" ht="12" customHeight="1">
      <c r="F196" s="7"/>
      <c r="G196" s="9"/>
      <c r="H196" s="9"/>
      <c r="L196" s="9"/>
      <c r="M196" s="9"/>
      <c r="N196" s="11"/>
    </row>
    <row r="197" spans="6:14" ht="12" customHeight="1">
      <c r="F197" s="7"/>
      <c r="G197" s="9"/>
      <c r="H197" s="9"/>
      <c r="L197" s="9"/>
      <c r="M197" s="9"/>
      <c r="N197" s="11"/>
    </row>
    <row r="198" spans="6:14" ht="12" customHeight="1">
      <c r="F198" s="7"/>
      <c r="G198" s="9"/>
      <c r="H198" s="9"/>
      <c r="L198" s="9"/>
      <c r="M198" s="9"/>
      <c r="N198" s="11"/>
    </row>
    <row r="199" spans="6:14" ht="12" customHeight="1">
      <c r="F199" s="7"/>
      <c r="G199" s="9"/>
      <c r="H199" s="9"/>
      <c r="L199" s="9"/>
      <c r="M199" s="9"/>
      <c r="N199" s="11"/>
    </row>
    <row r="200" spans="6:14" ht="12" customHeight="1">
      <c r="F200" s="7"/>
      <c r="G200" s="9"/>
      <c r="H200" s="9"/>
      <c r="L200" s="9"/>
      <c r="M200" s="9"/>
      <c r="N200" s="11"/>
    </row>
  </sheetData>
  <conditionalFormatting sqref="J2:J200">
    <cfRule type="expression" dxfId="7" priority="1">
      <formula>J2="Urgent"</formula>
    </cfRule>
  </conditionalFormatting>
  <conditionalFormatting sqref="K2:K200">
    <cfRule type="expression" dxfId="6" priority="2">
      <formula>K2="Cancelled"</formula>
    </cfRule>
    <cfRule type="expression" dxfId="5" priority="3">
      <formula>K2="Completed"</formula>
    </cfRule>
  </conditionalFormatting>
  <conditionalFormatting sqref="N2:N200">
    <cfRule type="cellIs" dxfId="4" priority="4" operator="greaterThan">
      <formula>15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100-000000000000}">
          <x14:formula1>
            <xm:f>'Validation Lists'!$A$2:$A$7</xm:f>
          </x14:formula1>
          <xm:sqref>D2:D200</xm:sqref>
        </x14:dataValidation>
        <x14:dataValidation type="list" xr:uid="{00000000-0002-0000-0100-000001000000}">
          <x14:formula1>
            <xm:f>'Validation Lists'!$D$2:$D$7</xm:f>
          </x14:formula1>
          <xm:sqref>I2:I200</xm:sqref>
        </x14:dataValidation>
        <x14:dataValidation type="list" xr:uid="{00000000-0002-0000-0100-000002000000}">
          <x14:formula1>
            <xm:f>'Validation Lists'!$C$2:$C$3</xm:f>
          </x14:formula1>
          <xm:sqref>J2:J200</xm:sqref>
        </x14:dataValidation>
        <x14:dataValidation type="list" xr:uid="{00000000-0002-0000-0100-000003000000}">
          <x14:formula1>
            <xm:f>'Validation Lists'!$B$2:$B$7</xm:f>
          </x14:formula1>
          <xm:sqref>K2:K200</xm:sqref>
        </x14:dataValidation>
        <x14:dataValidation type="list" xr:uid="{00000000-0002-0000-0100-000004000000}">
          <x14:formula1>
            <xm:f>'Validation Lists'!$E$2:$E$6</xm:f>
          </x14:formula1>
          <xm:sqref>P2:P200</xm:sqref>
        </x14:dataValidation>
        <x14:dataValidation type="list" xr:uid="{00000000-0002-0000-0100-000005000000}">
          <x14:formula1>
            <xm:f>'Validation Lists'!$F$2:$F$5</xm:f>
          </x14:formula1>
          <xm:sqref>Q2:Q200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0"/>
  <sheetViews>
    <sheetView workbookViewId="0"/>
  </sheetViews>
  <sheetFormatPr defaultRowHeight="13.8"/>
  <cols>
    <col min="1" max="1" width="12" customWidth="1"/>
    <col min="2" max="2" width="20" customWidth="1"/>
    <col min="3" max="3" width="24" customWidth="1"/>
    <col min="4" max="4" width="20" customWidth="1"/>
    <col min="5" max="7" width="12" customWidth="1"/>
    <col min="8" max="8" width="10" customWidth="1"/>
    <col min="9" max="10" width="18" customWidth="1"/>
    <col min="11" max="11" width="16" customWidth="1"/>
    <col min="12" max="12" width="32" customWidth="1"/>
  </cols>
  <sheetData>
    <row r="1" spans="1:12" ht="21.15" customHeight="1">
      <c r="A1" s="3" t="s">
        <v>174</v>
      </c>
      <c r="B1" s="3" t="s">
        <v>175</v>
      </c>
      <c r="C1" s="3" t="s">
        <v>12</v>
      </c>
      <c r="D1" s="3" t="s">
        <v>176</v>
      </c>
      <c r="E1" s="3" t="s">
        <v>177</v>
      </c>
      <c r="F1" s="3" t="s">
        <v>178</v>
      </c>
      <c r="G1" s="3" t="s">
        <v>179</v>
      </c>
      <c r="H1" s="3" t="s">
        <v>180</v>
      </c>
      <c r="I1" s="3" t="s">
        <v>181</v>
      </c>
      <c r="J1" s="3" t="s">
        <v>182</v>
      </c>
      <c r="K1" s="3" t="s">
        <v>183</v>
      </c>
      <c r="L1" s="3" t="s">
        <v>63</v>
      </c>
    </row>
    <row r="2" spans="1:12" ht="12" customHeight="1">
      <c r="A2" t="s">
        <v>184</v>
      </c>
      <c r="B2" t="s">
        <v>67</v>
      </c>
      <c r="C2" t="s">
        <v>16</v>
      </c>
      <c r="D2" t="s">
        <v>185</v>
      </c>
      <c r="E2" s="7">
        <v>46188</v>
      </c>
      <c r="F2" s="9">
        <v>46188.354166666664</v>
      </c>
      <c r="G2" s="9">
        <v>46188.6875</v>
      </c>
      <c r="H2">
        <v>18</v>
      </c>
      <c r="I2">
        <f>COUNTIFS('Appointment Scheduler'!$E$2:$E$200,B2,'Appointment Scheduler'!$F$2:$F$200,E2,'Appointment Scheduler'!$K$2:$K$200,"&lt;&gt;Cancelled")</f>
        <v>2</v>
      </c>
      <c r="J2">
        <f t="shared" ref="J2:J11" si="0">MAX(H2-I2,0)</f>
        <v>16</v>
      </c>
      <c r="K2" t="str">
        <f t="shared" ref="K2:K11" si="1">IF(J2=0,"Full",IF(J2&lt;=3,"Limited","Available"))</f>
        <v>Available</v>
      </c>
      <c r="L2" t="s">
        <v>186</v>
      </c>
    </row>
    <row r="3" spans="1:12" ht="12" customHeight="1">
      <c r="A3" t="s">
        <v>187</v>
      </c>
      <c r="B3" t="s">
        <v>132</v>
      </c>
      <c r="C3" t="s">
        <v>16</v>
      </c>
      <c r="D3" t="s">
        <v>185</v>
      </c>
      <c r="E3" s="7">
        <v>46189</v>
      </c>
      <c r="F3" s="9">
        <v>46189.354166666664</v>
      </c>
      <c r="G3" s="9">
        <v>46189.6875</v>
      </c>
      <c r="H3">
        <v>18</v>
      </c>
      <c r="I3">
        <f>COUNTIFS('Appointment Scheduler'!$E$2:$E$200,B3,'Appointment Scheduler'!$F$2:$F$200,E3,'Appointment Scheduler'!$K$2:$K$200,"&lt;&gt;Cancelled")</f>
        <v>2</v>
      </c>
      <c r="J3">
        <f t="shared" si="0"/>
        <v>16</v>
      </c>
      <c r="K3" t="str">
        <f t="shared" si="1"/>
        <v>Available</v>
      </c>
      <c r="L3" t="s">
        <v>188</v>
      </c>
    </row>
    <row r="4" spans="1:12" ht="12" customHeight="1">
      <c r="A4" t="s">
        <v>189</v>
      </c>
      <c r="B4" t="s">
        <v>91</v>
      </c>
      <c r="C4" t="s">
        <v>17</v>
      </c>
      <c r="D4" t="s">
        <v>190</v>
      </c>
      <c r="E4" s="7">
        <v>46188</v>
      </c>
      <c r="F4" s="9">
        <v>46188.333333333336</v>
      </c>
      <c r="G4" s="9">
        <v>46188.666666666664</v>
      </c>
      <c r="H4">
        <v>24</v>
      </c>
      <c r="I4">
        <f>COUNTIFS('Appointment Scheduler'!$E$2:$E$200,B4,'Appointment Scheduler'!$F$2:$F$200,E4,'Appointment Scheduler'!$K$2:$K$200,"&lt;&gt;Cancelled")</f>
        <v>2</v>
      </c>
      <c r="J4">
        <f t="shared" si="0"/>
        <v>22</v>
      </c>
      <c r="K4" t="str">
        <f t="shared" si="1"/>
        <v>Available</v>
      </c>
      <c r="L4" t="s">
        <v>191</v>
      </c>
    </row>
    <row r="5" spans="1:12" ht="12" customHeight="1">
      <c r="A5" t="s">
        <v>192</v>
      </c>
      <c r="B5" t="s">
        <v>91</v>
      </c>
      <c r="C5" t="s">
        <v>17</v>
      </c>
      <c r="D5" t="s">
        <v>190</v>
      </c>
      <c r="E5" s="7">
        <v>46189</v>
      </c>
      <c r="F5" s="9">
        <v>46189.333333333336</v>
      </c>
      <c r="G5" s="9">
        <v>46189.666666666664</v>
      </c>
      <c r="H5">
        <v>24</v>
      </c>
      <c r="I5">
        <f>COUNTIFS('Appointment Scheduler'!$E$2:$E$200,B5,'Appointment Scheduler'!$F$2:$F$200,E5,'Appointment Scheduler'!$K$2:$K$200,"&lt;&gt;Cancelled")</f>
        <v>1</v>
      </c>
      <c r="J5">
        <f t="shared" si="0"/>
        <v>23</v>
      </c>
      <c r="K5" t="str">
        <f t="shared" si="1"/>
        <v>Available</v>
      </c>
      <c r="L5" t="s">
        <v>193</v>
      </c>
    </row>
    <row r="6" spans="1:12" ht="12" customHeight="1">
      <c r="A6" t="s">
        <v>194</v>
      </c>
      <c r="B6" t="s">
        <v>84</v>
      </c>
      <c r="C6" t="s">
        <v>18</v>
      </c>
      <c r="D6" t="s">
        <v>195</v>
      </c>
      <c r="E6" s="7">
        <v>46188</v>
      </c>
      <c r="F6" s="9">
        <v>46188.375</v>
      </c>
      <c r="G6" s="9">
        <v>46188.708333333336</v>
      </c>
      <c r="H6">
        <v>16</v>
      </c>
      <c r="I6">
        <f>COUNTIFS('Appointment Scheduler'!$E$2:$E$200,B6,'Appointment Scheduler'!$F$2:$F$200,E6,'Appointment Scheduler'!$K$2:$K$200,"&lt;&gt;Cancelled")</f>
        <v>1</v>
      </c>
      <c r="J6">
        <f t="shared" si="0"/>
        <v>15</v>
      </c>
      <c r="K6" t="str">
        <f t="shared" si="1"/>
        <v>Available</v>
      </c>
      <c r="L6" t="s">
        <v>196</v>
      </c>
    </row>
    <row r="7" spans="1:12" ht="12" customHeight="1">
      <c r="A7" t="s">
        <v>197</v>
      </c>
      <c r="B7" t="s">
        <v>84</v>
      </c>
      <c r="C7" t="s">
        <v>18</v>
      </c>
      <c r="D7" t="s">
        <v>195</v>
      </c>
      <c r="E7" s="7">
        <v>46189</v>
      </c>
      <c r="F7" s="9">
        <v>46189.375</v>
      </c>
      <c r="G7" s="9">
        <v>46189.708333333336</v>
      </c>
      <c r="H7">
        <v>16</v>
      </c>
      <c r="I7">
        <f>COUNTIFS('Appointment Scheduler'!$E$2:$E$200,B7,'Appointment Scheduler'!$F$2:$F$200,E7,'Appointment Scheduler'!$K$2:$K$200,"&lt;&gt;Cancelled")</f>
        <v>2</v>
      </c>
      <c r="J7">
        <f t="shared" si="0"/>
        <v>14</v>
      </c>
      <c r="K7" t="str">
        <f t="shared" si="1"/>
        <v>Available</v>
      </c>
      <c r="L7" t="s">
        <v>198</v>
      </c>
    </row>
    <row r="8" spans="1:12" ht="12" customHeight="1">
      <c r="A8" t="s">
        <v>199</v>
      </c>
      <c r="B8" t="s">
        <v>77</v>
      </c>
      <c r="C8" t="s">
        <v>19</v>
      </c>
      <c r="D8" t="s">
        <v>200</v>
      </c>
      <c r="E8" s="7">
        <v>46188</v>
      </c>
      <c r="F8" s="9">
        <v>46188.333333333336</v>
      </c>
      <c r="G8" s="9">
        <v>46188.625</v>
      </c>
      <c r="H8">
        <v>28</v>
      </c>
      <c r="I8">
        <f>COUNTIFS('Appointment Scheduler'!$E$2:$E$200,B8,'Appointment Scheduler'!$F$2:$F$200,E8,'Appointment Scheduler'!$K$2:$K$200,"&lt;&gt;Cancelled")</f>
        <v>2</v>
      </c>
      <c r="J8">
        <f t="shared" si="0"/>
        <v>26</v>
      </c>
      <c r="K8" t="str">
        <f t="shared" si="1"/>
        <v>Available</v>
      </c>
      <c r="L8" t="s">
        <v>201</v>
      </c>
    </row>
    <row r="9" spans="1:12" ht="12" customHeight="1">
      <c r="A9" t="s">
        <v>202</v>
      </c>
      <c r="B9" t="s">
        <v>77</v>
      </c>
      <c r="C9" t="s">
        <v>19</v>
      </c>
      <c r="D9" t="s">
        <v>200</v>
      </c>
      <c r="E9" s="7">
        <v>46189</v>
      </c>
      <c r="F9" s="9">
        <v>46189.333333333336</v>
      </c>
      <c r="G9" s="9">
        <v>46189.625</v>
      </c>
      <c r="H9">
        <v>28</v>
      </c>
      <c r="I9">
        <f>COUNTIFS('Appointment Scheduler'!$E$2:$E$200,B9,'Appointment Scheduler'!$F$2:$F$200,E9,'Appointment Scheduler'!$K$2:$K$200,"&lt;&gt;Cancelled")</f>
        <v>2</v>
      </c>
      <c r="J9">
        <f t="shared" si="0"/>
        <v>26</v>
      </c>
      <c r="K9" t="str">
        <f t="shared" si="1"/>
        <v>Available</v>
      </c>
      <c r="L9" t="s">
        <v>203</v>
      </c>
    </row>
    <row r="10" spans="1:12" ht="12" customHeight="1">
      <c r="A10" t="s">
        <v>204</v>
      </c>
      <c r="B10" t="s">
        <v>100</v>
      </c>
      <c r="C10" t="s">
        <v>21</v>
      </c>
      <c r="D10" t="s">
        <v>205</v>
      </c>
      <c r="E10" s="7">
        <v>46188</v>
      </c>
      <c r="F10" s="9">
        <v>46188.354166666664</v>
      </c>
      <c r="G10" s="9">
        <v>46188.6875</v>
      </c>
      <c r="H10">
        <v>30</v>
      </c>
      <c r="I10">
        <f>COUNTIFS('Appointment Scheduler'!$E$2:$E$200,B10,'Appointment Scheduler'!$F$2:$F$200,E10,'Appointment Scheduler'!$K$2:$K$200,"&lt;&gt;Cancelled")</f>
        <v>1</v>
      </c>
      <c r="J10">
        <f t="shared" si="0"/>
        <v>29</v>
      </c>
      <c r="K10" t="str">
        <f t="shared" si="1"/>
        <v>Available</v>
      </c>
      <c r="L10" t="s">
        <v>206</v>
      </c>
    </row>
    <row r="11" spans="1:12" ht="12" customHeight="1">
      <c r="A11" t="s">
        <v>207</v>
      </c>
      <c r="B11" t="s">
        <v>107</v>
      </c>
      <c r="C11" t="s">
        <v>23</v>
      </c>
      <c r="D11" t="s">
        <v>208</v>
      </c>
      <c r="E11" s="7">
        <v>46188</v>
      </c>
      <c r="F11" s="9">
        <v>46188.375</v>
      </c>
      <c r="G11" s="9">
        <v>46188.708333333336</v>
      </c>
      <c r="H11">
        <v>20</v>
      </c>
      <c r="I11">
        <f>COUNTIFS('Appointment Scheduler'!$E$2:$E$200,B11,'Appointment Scheduler'!$F$2:$F$200,E11,'Appointment Scheduler'!$K$2:$K$200,"&lt;&gt;Cancelled")</f>
        <v>1</v>
      </c>
      <c r="J11">
        <f t="shared" si="0"/>
        <v>19</v>
      </c>
      <c r="K11" t="str">
        <f t="shared" si="1"/>
        <v>Available</v>
      </c>
      <c r="L11" t="s">
        <v>110</v>
      </c>
    </row>
    <row r="12" spans="1:12" ht="12" customHeight="1">
      <c r="E12" s="7"/>
      <c r="F12" s="9"/>
      <c r="G12" s="9"/>
    </row>
    <row r="13" spans="1:12" ht="12" customHeight="1">
      <c r="E13" s="7"/>
      <c r="F13" s="9"/>
      <c r="G13" s="9"/>
    </row>
    <row r="14" spans="1:12" ht="12" customHeight="1">
      <c r="E14" s="7"/>
      <c r="F14" s="9"/>
      <c r="G14" s="9"/>
    </row>
    <row r="15" spans="1:12" ht="12" customHeight="1">
      <c r="E15" s="7"/>
      <c r="F15" s="9"/>
      <c r="G15" s="9"/>
    </row>
    <row r="16" spans="1:12" ht="12" customHeight="1">
      <c r="E16" s="7"/>
      <c r="F16" s="9"/>
      <c r="G16" s="9"/>
    </row>
    <row r="17" spans="5:7" ht="12" customHeight="1">
      <c r="E17" s="7"/>
      <c r="F17" s="9"/>
      <c r="G17" s="9"/>
    </row>
    <row r="18" spans="5:7" ht="12" customHeight="1">
      <c r="E18" s="7"/>
      <c r="F18" s="9"/>
      <c r="G18" s="9"/>
    </row>
    <row r="19" spans="5:7" ht="12" customHeight="1">
      <c r="E19" s="7"/>
      <c r="F19" s="9"/>
      <c r="G19" s="9"/>
    </row>
    <row r="20" spans="5:7" ht="12" customHeight="1">
      <c r="E20" s="7"/>
      <c r="F20" s="9"/>
      <c r="G20" s="9"/>
    </row>
    <row r="21" spans="5:7" ht="12" customHeight="1">
      <c r="E21" s="7"/>
      <c r="F21" s="9"/>
      <c r="G21" s="9"/>
    </row>
    <row r="22" spans="5:7" ht="12" customHeight="1">
      <c r="E22" s="7"/>
      <c r="F22" s="9"/>
      <c r="G22" s="9"/>
    </row>
    <row r="23" spans="5:7" ht="12" customHeight="1">
      <c r="E23" s="7"/>
      <c r="F23" s="9"/>
      <c r="G23" s="9"/>
    </row>
    <row r="24" spans="5:7" ht="12" customHeight="1">
      <c r="E24" s="7"/>
      <c r="F24" s="9"/>
      <c r="G24" s="9"/>
    </row>
    <row r="25" spans="5:7" ht="12" customHeight="1">
      <c r="E25" s="7"/>
      <c r="F25" s="9"/>
      <c r="G25" s="9"/>
    </row>
    <row r="26" spans="5:7" ht="12" customHeight="1">
      <c r="E26" s="7"/>
      <c r="F26" s="9"/>
      <c r="G26" s="9"/>
    </row>
    <row r="27" spans="5:7" ht="12" customHeight="1">
      <c r="E27" s="7"/>
      <c r="F27" s="9"/>
      <c r="G27" s="9"/>
    </row>
    <row r="28" spans="5:7" ht="12" customHeight="1">
      <c r="E28" s="7"/>
      <c r="F28" s="9"/>
      <c r="G28" s="9"/>
    </row>
    <row r="29" spans="5:7" ht="12" customHeight="1">
      <c r="E29" s="7"/>
      <c r="F29" s="9"/>
      <c r="G29" s="9"/>
    </row>
    <row r="30" spans="5:7" ht="12" customHeight="1">
      <c r="E30" s="7"/>
      <c r="F30" s="9"/>
      <c r="G30" s="9"/>
    </row>
    <row r="31" spans="5:7" ht="12" customHeight="1">
      <c r="E31" s="7"/>
      <c r="F31" s="9"/>
      <c r="G31" s="9"/>
    </row>
    <row r="32" spans="5:7" ht="12" customHeight="1">
      <c r="E32" s="7"/>
      <c r="F32" s="9"/>
      <c r="G32" s="9"/>
    </row>
    <row r="33" spans="5:7" ht="12" customHeight="1">
      <c r="E33" s="7"/>
      <c r="F33" s="9"/>
      <c r="G33" s="9"/>
    </row>
    <row r="34" spans="5:7" ht="12" customHeight="1">
      <c r="E34" s="7"/>
      <c r="F34" s="9"/>
      <c r="G34" s="9"/>
    </row>
    <row r="35" spans="5:7" ht="12" customHeight="1">
      <c r="E35" s="7"/>
      <c r="F35" s="9"/>
      <c r="G35" s="9"/>
    </row>
    <row r="36" spans="5:7" ht="12" customHeight="1">
      <c r="E36" s="7"/>
      <c r="F36" s="9"/>
      <c r="G36" s="9"/>
    </row>
    <row r="37" spans="5:7" ht="12" customHeight="1">
      <c r="E37" s="7"/>
      <c r="F37" s="9"/>
      <c r="G37" s="9"/>
    </row>
    <row r="38" spans="5:7" ht="12" customHeight="1">
      <c r="E38" s="7"/>
      <c r="F38" s="9"/>
      <c r="G38" s="9"/>
    </row>
    <row r="39" spans="5:7" ht="12" customHeight="1">
      <c r="E39" s="7"/>
      <c r="F39" s="9"/>
      <c r="G39" s="9"/>
    </row>
    <row r="40" spans="5:7" ht="12" customHeight="1">
      <c r="E40" s="7"/>
      <c r="F40" s="9"/>
      <c r="G40" s="9"/>
    </row>
    <row r="41" spans="5:7" ht="12" customHeight="1">
      <c r="E41" s="7"/>
      <c r="F41" s="9"/>
      <c r="G41" s="9"/>
    </row>
    <row r="42" spans="5:7" ht="12" customHeight="1">
      <c r="E42" s="7"/>
      <c r="F42" s="9"/>
      <c r="G42" s="9"/>
    </row>
    <row r="43" spans="5:7" ht="12" customHeight="1">
      <c r="E43" s="7"/>
      <c r="F43" s="9"/>
      <c r="G43" s="9"/>
    </row>
    <row r="44" spans="5:7" ht="12" customHeight="1">
      <c r="E44" s="7"/>
      <c r="F44" s="9"/>
      <c r="G44" s="9"/>
    </row>
    <row r="45" spans="5:7" ht="12" customHeight="1">
      <c r="E45" s="7"/>
      <c r="F45" s="9"/>
      <c r="G45" s="9"/>
    </row>
    <row r="46" spans="5:7" ht="12" customHeight="1">
      <c r="E46" s="7"/>
      <c r="F46" s="9"/>
      <c r="G46" s="9"/>
    </row>
    <row r="47" spans="5:7" ht="12" customHeight="1">
      <c r="E47" s="7"/>
      <c r="F47" s="9"/>
      <c r="G47" s="9"/>
    </row>
    <row r="48" spans="5:7" ht="12" customHeight="1">
      <c r="E48" s="7"/>
      <c r="F48" s="9"/>
      <c r="G48" s="9"/>
    </row>
    <row r="49" spans="5:7" ht="12" customHeight="1">
      <c r="E49" s="7"/>
      <c r="F49" s="9"/>
      <c r="G49" s="9"/>
    </row>
    <row r="50" spans="5:7" ht="12" customHeight="1">
      <c r="E50" s="7"/>
      <c r="F50" s="9"/>
      <c r="G50" s="9"/>
    </row>
    <row r="51" spans="5:7" ht="12" customHeight="1">
      <c r="E51" s="7"/>
      <c r="F51" s="9"/>
      <c r="G51" s="9"/>
    </row>
    <row r="52" spans="5:7" ht="12" customHeight="1">
      <c r="E52" s="7"/>
      <c r="F52" s="9"/>
      <c r="G52" s="9"/>
    </row>
    <row r="53" spans="5:7" ht="12" customHeight="1">
      <c r="E53" s="7"/>
      <c r="F53" s="9"/>
      <c r="G53" s="9"/>
    </row>
    <row r="54" spans="5:7" ht="12" customHeight="1">
      <c r="E54" s="7"/>
      <c r="F54" s="9"/>
      <c r="G54" s="9"/>
    </row>
    <row r="55" spans="5:7" ht="12" customHeight="1">
      <c r="E55" s="7"/>
      <c r="F55" s="9"/>
      <c r="G55" s="9"/>
    </row>
    <row r="56" spans="5:7" ht="12" customHeight="1">
      <c r="E56" s="7"/>
      <c r="F56" s="9"/>
      <c r="G56" s="9"/>
    </row>
    <row r="57" spans="5:7" ht="12" customHeight="1">
      <c r="E57" s="7"/>
      <c r="F57" s="9"/>
      <c r="G57" s="9"/>
    </row>
    <row r="58" spans="5:7" ht="12" customHeight="1">
      <c r="E58" s="7"/>
      <c r="F58" s="9"/>
      <c r="G58" s="9"/>
    </row>
    <row r="59" spans="5:7" ht="12" customHeight="1">
      <c r="E59" s="7"/>
      <c r="F59" s="9"/>
      <c r="G59" s="9"/>
    </row>
    <row r="60" spans="5:7" ht="12" customHeight="1">
      <c r="E60" s="7"/>
      <c r="F60" s="9"/>
      <c r="G60" s="9"/>
    </row>
    <row r="61" spans="5:7" ht="12" customHeight="1">
      <c r="E61" s="7"/>
      <c r="F61" s="9"/>
      <c r="G61" s="9"/>
    </row>
    <row r="62" spans="5:7" ht="12" customHeight="1">
      <c r="E62" s="7"/>
      <c r="F62" s="9"/>
      <c r="G62" s="9"/>
    </row>
    <row r="63" spans="5:7" ht="12" customHeight="1">
      <c r="E63" s="7"/>
      <c r="F63" s="9"/>
      <c r="G63" s="9"/>
    </row>
    <row r="64" spans="5:7" ht="12" customHeight="1">
      <c r="E64" s="7"/>
      <c r="F64" s="9"/>
      <c r="G64" s="9"/>
    </row>
    <row r="65" spans="5:7" ht="12" customHeight="1">
      <c r="E65" s="7"/>
      <c r="F65" s="9"/>
      <c r="G65" s="9"/>
    </row>
    <row r="66" spans="5:7" ht="12" customHeight="1">
      <c r="E66" s="7"/>
      <c r="F66" s="9"/>
      <c r="G66" s="9"/>
    </row>
    <row r="67" spans="5:7" ht="12" customHeight="1">
      <c r="E67" s="7"/>
      <c r="F67" s="9"/>
      <c r="G67" s="9"/>
    </row>
    <row r="68" spans="5:7" ht="12" customHeight="1">
      <c r="E68" s="7"/>
      <c r="F68" s="9"/>
      <c r="G68" s="9"/>
    </row>
    <row r="69" spans="5:7" ht="12" customHeight="1">
      <c r="E69" s="7"/>
      <c r="F69" s="9"/>
      <c r="G69" s="9"/>
    </row>
    <row r="70" spans="5:7" ht="12" customHeight="1">
      <c r="E70" s="7"/>
      <c r="F70" s="9"/>
      <c r="G70" s="9"/>
    </row>
    <row r="71" spans="5:7" ht="12" customHeight="1">
      <c r="E71" s="7"/>
      <c r="F71" s="9"/>
      <c r="G71" s="9"/>
    </row>
    <row r="72" spans="5:7" ht="12" customHeight="1">
      <c r="E72" s="7"/>
      <c r="F72" s="9"/>
      <c r="G72" s="9"/>
    </row>
    <row r="73" spans="5:7" ht="12" customHeight="1">
      <c r="E73" s="7"/>
      <c r="F73" s="9"/>
      <c r="G73" s="9"/>
    </row>
    <row r="74" spans="5:7" ht="12" customHeight="1">
      <c r="E74" s="7"/>
      <c r="F74" s="9"/>
      <c r="G74" s="9"/>
    </row>
    <row r="75" spans="5:7" ht="12" customHeight="1">
      <c r="E75" s="7"/>
      <c r="F75" s="9"/>
      <c r="G75" s="9"/>
    </row>
    <row r="76" spans="5:7" ht="12" customHeight="1">
      <c r="E76" s="7"/>
      <c r="F76" s="9"/>
      <c r="G76" s="9"/>
    </row>
    <row r="77" spans="5:7" ht="12" customHeight="1">
      <c r="E77" s="7"/>
      <c r="F77" s="9"/>
      <c r="G77" s="9"/>
    </row>
    <row r="78" spans="5:7" ht="12" customHeight="1">
      <c r="E78" s="7"/>
      <c r="F78" s="9"/>
      <c r="G78" s="9"/>
    </row>
    <row r="79" spans="5:7" ht="12" customHeight="1">
      <c r="E79" s="7"/>
      <c r="F79" s="9"/>
      <c r="G79" s="9"/>
    </row>
    <row r="80" spans="5:7" ht="12" customHeight="1">
      <c r="E80" s="7"/>
      <c r="F80" s="9"/>
      <c r="G80" s="9"/>
    </row>
    <row r="81" spans="5:7" ht="12" customHeight="1">
      <c r="E81" s="7"/>
      <c r="F81" s="9"/>
      <c r="G81" s="9"/>
    </row>
    <row r="82" spans="5:7" ht="12" customHeight="1">
      <c r="E82" s="7"/>
      <c r="F82" s="9"/>
      <c r="G82" s="9"/>
    </row>
    <row r="83" spans="5:7" ht="12" customHeight="1">
      <c r="E83" s="7"/>
      <c r="F83" s="9"/>
      <c r="G83" s="9"/>
    </row>
    <row r="84" spans="5:7" ht="12" customHeight="1">
      <c r="E84" s="7"/>
      <c r="F84" s="9"/>
      <c r="G84" s="9"/>
    </row>
    <row r="85" spans="5:7" ht="12" customHeight="1">
      <c r="E85" s="7"/>
      <c r="F85" s="9"/>
      <c r="G85" s="9"/>
    </row>
    <row r="86" spans="5:7" ht="12" customHeight="1">
      <c r="E86" s="7"/>
      <c r="F86" s="9"/>
      <c r="G86" s="9"/>
    </row>
    <row r="87" spans="5:7" ht="12" customHeight="1">
      <c r="E87" s="7"/>
      <c r="F87" s="9"/>
      <c r="G87" s="9"/>
    </row>
    <row r="88" spans="5:7" ht="12" customHeight="1">
      <c r="E88" s="7"/>
      <c r="F88" s="9"/>
      <c r="G88" s="9"/>
    </row>
    <row r="89" spans="5:7" ht="12" customHeight="1">
      <c r="E89" s="7"/>
      <c r="F89" s="9"/>
      <c r="G89" s="9"/>
    </row>
    <row r="90" spans="5:7" ht="12" customHeight="1">
      <c r="E90" s="7"/>
      <c r="F90" s="9"/>
      <c r="G90" s="9"/>
    </row>
    <row r="91" spans="5:7" ht="12" customHeight="1">
      <c r="E91" s="7"/>
      <c r="F91" s="9"/>
      <c r="G91" s="9"/>
    </row>
    <row r="92" spans="5:7" ht="12" customHeight="1">
      <c r="E92" s="7"/>
      <c r="F92" s="9"/>
      <c r="G92" s="9"/>
    </row>
    <row r="93" spans="5:7" ht="12" customHeight="1">
      <c r="E93" s="7"/>
      <c r="F93" s="9"/>
      <c r="G93" s="9"/>
    </row>
    <row r="94" spans="5:7" ht="12" customHeight="1">
      <c r="E94" s="7"/>
      <c r="F94" s="9"/>
      <c r="G94" s="9"/>
    </row>
    <row r="95" spans="5:7" ht="12" customHeight="1">
      <c r="E95" s="7"/>
      <c r="F95" s="9"/>
      <c r="G95" s="9"/>
    </row>
    <row r="96" spans="5:7" ht="12" customHeight="1">
      <c r="E96" s="7"/>
      <c r="F96" s="9"/>
      <c r="G96" s="9"/>
    </row>
    <row r="97" spans="5:7" ht="12" customHeight="1">
      <c r="E97" s="7"/>
      <c r="F97" s="9"/>
      <c r="G97" s="9"/>
    </row>
    <row r="98" spans="5:7" ht="12" customHeight="1">
      <c r="E98" s="7"/>
      <c r="F98" s="9"/>
      <c r="G98" s="9"/>
    </row>
    <row r="99" spans="5:7" ht="12" customHeight="1">
      <c r="E99" s="7"/>
      <c r="F99" s="9"/>
      <c r="G99" s="9"/>
    </row>
    <row r="100" spans="5:7" ht="12" customHeight="1">
      <c r="E100" s="7"/>
      <c r="F100" s="9"/>
      <c r="G100" s="9"/>
    </row>
    <row r="101" spans="5:7" ht="12" customHeight="1">
      <c r="E101" s="7"/>
      <c r="F101" s="9"/>
      <c r="G101" s="9"/>
    </row>
    <row r="102" spans="5:7" ht="12" customHeight="1">
      <c r="E102" s="7"/>
      <c r="F102" s="9"/>
      <c r="G102" s="9"/>
    </row>
    <row r="103" spans="5:7" ht="12" customHeight="1">
      <c r="E103" s="7"/>
      <c r="F103" s="9"/>
      <c r="G103" s="9"/>
    </row>
    <row r="104" spans="5:7" ht="12" customHeight="1">
      <c r="E104" s="7"/>
      <c r="F104" s="9"/>
      <c r="G104" s="9"/>
    </row>
    <row r="105" spans="5:7" ht="12" customHeight="1">
      <c r="E105" s="7"/>
      <c r="F105" s="9"/>
      <c r="G105" s="9"/>
    </row>
    <row r="106" spans="5:7" ht="12" customHeight="1">
      <c r="E106" s="7"/>
      <c r="F106" s="9"/>
      <c r="G106" s="9"/>
    </row>
    <row r="107" spans="5:7" ht="12" customHeight="1">
      <c r="E107" s="7"/>
      <c r="F107" s="9"/>
      <c r="G107" s="9"/>
    </row>
    <row r="108" spans="5:7" ht="12" customHeight="1">
      <c r="E108" s="7"/>
      <c r="F108" s="9"/>
      <c r="G108" s="9"/>
    </row>
    <row r="109" spans="5:7" ht="12" customHeight="1">
      <c r="E109" s="7"/>
      <c r="F109" s="9"/>
      <c r="G109" s="9"/>
    </row>
    <row r="110" spans="5:7" ht="12" customHeight="1">
      <c r="E110" s="7"/>
      <c r="F110" s="9"/>
      <c r="G110" s="9"/>
    </row>
    <row r="111" spans="5:7" ht="12" customHeight="1">
      <c r="E111" s="7"/>
      <c r="F111" s="9"/>
      <c r="G111" s="9"/>
    </row>
    <row r="112" spans="5:7" ht="12" customHeight="1">
      <c r="E112" s="7"/>
      <c r="F112" s="9"/>
      <c r="G112" s="9"/>
    </row>
    <row r="113" spans="5:7" ht="12" customHeight="1">
      <c r="E113" s="7"/>
      <c r="F113" s="9"/>
      <c r="G113" s="9"/>
    </row>
    <row r="114" spans="5:7" ht="12" customHeight="1">
      <c r="E114" s="7"/>
      <c r="F114" s="9"/>
      <c r="G114" s="9"/>
    </row>
    <row r="115" spans="5:7" ht="12" customHeight="1">
      <c r="E115" s="7"/>
      <c r="F115" s="9"/>
      <c r="G115" s="9"/>
    </row>
    <row r="116" spans="5:7" ht="12" customHeight="1">
      <c r="E116" s="7"/>
      <c r="F116" s="9"/>
      <c r="G116" s="9"/>
    </row>
    <row r="117" spans="5:7" ht="12" customHeight="1">
      <c r="E117" s="7"/>
      <c r="F117" s="9"/>
      <c r="G117" s="9"/>
    </row>
    <row r="118" spans="5:7" ht="12" customHeight="1">
      <c r="E118" s="7"/>
      <c r="F118" s="9"/>
      <c r="G118" s="9"/>
    </row>
    <row r="119" spans="5:7" ht="12" customHeight="1">
      <c r="E119" s="7"/>
      <c r="F119" s="9"/>
      <c r="G119" s="9"/>
    </row>
    <row r="120" spans="5:7" ht="12" customHeight="1">
      <c r="E120" s="7"/>
      <c r="F120" s="9"/>
      <c r="G120" s="9"/>
    </row>
    <row r="121" spans="5:7" ht="12" customHeight="1">
      <c r="E121" s="7"/>
      <c r="F121" s="9"/>
      <c r="G121" s="9"/>
    </row>
    <row r="122" spans="5:7" ht="12" customHeight="1">
      <c r="E122" s="7"/>
      <c r="F122" s="9"/>
      <c r="G122" s="9"/>
    </row>
    <row r="123" spans="5:7" ht="12" customHeight="1">
      <c r="E123" s="7"/>
      <c r="F123" s="9"/>
      <c r="G123" s="9"/>
    </row>
    <row r="124" spans="5:7" ht="12" customHeight="1">
      <c r="E124" s="7"/>
      <c r="F124" s="9"/>
      <c r="G124" s="9"/>
    </row>
    <row r="125" spans="5:7" ht="12" customHeight="1">
      <c r="E125" s="7"/>
      <c r="F125" s="9"/>
      <c r="G125" s="9"/>
    </row>
    <row r="126" spans="5:7" ht="12" customHeight="1">
      <c r="E126" s="7"/>
      <c r="F126" s="9"/>
      <c r="G126" s="9"/>
    </row>
    <row r="127" spans="5:7" ht="12" customHeight="1">
      <c r="E127" s="7"/>
      <c r="F127" s="9"/>
      <c r="G127" s="9"/>
    </row>
    <row r="128" spans="5:7" ht="12" customHeight="1">
      <c r="E128" s="7"/>
      <c r="F128" s="9"/>
      <c r="G128" s="9"/>
    </row>
    <row r="129" spans="5:7" ht="12" customHeight="1">
      <c r="E129" s="7"/>
      <c r="F129" s="9"/>
      <c r="G129" s="9"/>
    </row>
    <row r="130" spans="5:7" ht="12" customHeight="1">
      <c r="E130" s="7"/>
      <c r="F130" s="9"/>
      <c r="G130" s="9"/>
    </row>
    <row r="131" spans="5:7" ht="12" customHeight="1">
      <c r="E131" s="7"/>
      <c r="F131" s="9"/>
      <c r="G131" s="9"/>
    </row>
    <row r="132" spans="5:7" ht="12" customHeight="1">
      <c r="E132" s="7"/>
      <c r="F132" s="9"/>
      <c r="G132" s="9"/>
    </row>
    <row r="133" spans="5:7" ht="12" customHeight="1">
      <c r="E133" s="7"/>
      <c r="F133" s="9"/>
      <c r="G133" s="9"/>
    </row>
    <row r="134" spans="5:7" ht="12" customHeight="1">
      <c r="E134" s="7"/>
      <c r="F134" s="9"/>
      <c r="G134" s="9"/>
    </row>
    <row r="135" spans="5:7" ht="12" customHeight="1">
      <c r="E135" s="7"/>
      <c r="F135" s="9"/>
      <c r="G135" s="9"/>
    </row>
    <row r="136" spans="5:7" ht="12" customHeight="1">
      <c r="E136" s="7"/>
      <c r="F136" s="9"/>
      <c r="G136" s="9"/>
    </row>
    <row r="137" spans="5:7" ht="12" customHeight="1">
      <c r="E137" s="7"/>
      <c r="F137" s="9"/>
      <c r="G137" s="9"/>
    </row>
    <row r="138" spans="5:7" ht="12" customHeight="1">
      <c r="E138" s="7"/>
      <c r="F138" s="9"/>
      <c r="G138" s="9"/>
    </row>
    <row r="139" spans="5:7" ht="12" customHeight="1">
      <c r="E139" s="7"/>
      <c r="F139" s="9"/>
      <c r="G139" s="9"/>
    </row>
    <row r="140" spans="5:7" ht="12" customHeight="1">
      <c r="E140" s="7"/>
      <c r="F140" s="9"/>
      <c r="G140" s="9"/>
    </row>
    <row r="141" spans="5:7" ht="12" customHeight="1">
      <c r="E141" s="7"/>
      <c r="F141" s="9"/>
      <c r="G141" s="9"/>
    </row>
    <row r="142" spans="5:7" ht="12" customHeight="1">
      <c r="E142" s="7"/>
      <c r="F142" s="9"/>
      <c r="G142" s="9"/>
    </row>
    <row r="143" spans="5:7" ht="12" customHeight="1">
      <c r="E143" s="7"/>
      <c r="F143" s="9"/>
      <c r="G143" s="9"/>
    </row>
    <row r="144" spans="5:7" ht="12" customHeight="1">
      <c r="E144" s="7"/>
      <c r="F144" s="9"/>
      <c r="G144" s="9"/>
    </row>
    <row r="145" spans="5:7" ht="12" customHeight="1">
      <c r="E145" s="7"/>
      <c r="F145" s="9"/>
      <c r="G145" s="9"/>
    </row>
    <row r="146" spans="5:7" ht="12" customHeight="1">
      <c r="E146" s="7"/>
      <c r="F146" s="9"/>
      <c r="G146" s="9"/>
    </row>
    <row r="147" spans="5:7" ht="12" customHeight="1">
      <c r="E147" s="7"/>
      <c r="F147" s="9"/>
      <c r="G147" s="9"/>
    </row>
    <row r="148" spans="5:7" ht="12" customHeight="1">
      <c r="E148" s="7"/>
      <c r="F148" s="9"/>
      <c r="G148" s="9"/>
    </row>
    <row r="149" spans="5:7" ht="12" customHeight="1">
      <c r="E149" s="7"/>
      <c r="F149" s="9"/>
      <c r="G149" s="9"/>
    </row>
    <row r="150" spans="5:7" ht="12" customHeight="1">
      <c r="E150" s="7"/>
      <c r="F150" s="9"/>
      <c r="G150" s="9"/>
    </row>
    <row r="151" spans="5:7" ht="12" customHeight="1">
      <c r="E151" s="7"/>
      <c r="F151" s="9"/>
      <c r="G151" s="9"/>
    </row>
    <row r="152" spans="5:7" ht="12" customHeight="1">
      <c r="E152" s="7"/>
      <c r="F152" s="9"/>
      <c r="G152" s="9"/>
    </row>
    <row r="153" spans="5:7" ht="12" customHeight="1">
      <c r="E153" s="7"/>
      <c r="F153" s="9"/>
      <c r="G153" s="9"/>
    </row>
    <row r="154" spans="5:7" ht="12" customHeight="1">
      <c r="E154" s="7"/>
      <c r="F154" s="9"/>
      <c r="G154" s="9"/>
    </row>
    <row r="155" spans="5:7" ht="12" customHeight="1">
      <c r="E155" s="7"/>
      <c r="F155" s="9"/>
      <c r="G155" s="9"/>
    </row>
    <row r="156" spans="5:7" ht="12" customHeight="1">
      <c r="E156" s="7"/>
      <c r="F156" s="9"/>
      <c r="G156" s="9"/>
    </row>
    <row r="157" spans="5:7" ht="12" customHeight="1">
      <c r="E157" s="7"/>
      <c r="F157" s="9"/>
      <c r="G157" s="9"/>
    </row>
    <row r="158" spans="5:7" ht="12" customHeight="1">
      <c r="E158" s="7"/>
      <c r="F158" s="9"/>
      <c r="G158" s="9"/>
    </row>
    <row r="159" spans="5:7" ht="12" customHeight="1">
      <c r="E159" s="7"/>
      <c r="F159" s="9"/>
      <c r="G159" s="9"/>
    </row>
    <row r="160" spans="5:7" ht="12" customHeight="1">
      <c r="E160" s="7"/>
      <c r="F160" s="9"/>
      <c r="G160" s="9"/>
    </row>
    <row r="161" spans="5:7" ht="12" customHeight="1">
      <c r="E161" s="7"/>
      <c r="F161" s="9"/>
      <c r="G161" s="9"/>
    </row>
    <row r="162" spans="5:7" ht="12" customHeight="1">
      <c r="E162" s="7"/>
      <c r="F162" s="9"/>
      <c r="G162" s="9"/>
    </row>
    <row r="163" spans="5:7" ht="12" customHeight="1">
      <c r="E163" s="7"/>
      <c r="F163" s="9"/>
      <c r="G163" s="9"/>
    </row>
    <row r="164" spans="5:7" ht="12" customHeight="1">
      <c r="E164" s="7"/>
      <c r="F164" s="9"/>
      <c r="G164" s="9"/>
    </row>
    <row r="165" spans="5:7" ht="12" customHeight="1">
      <c r="E165" s="7"/>
      <c r="F165" s="9"/>
      <c r="G165" s="9"/>
    </row>
    <row r="166" spans="5:7" ht="12" customHeight="1">
      <c r="E166" s="7"/>
      <c r="F166" s="9"/>
      <c r="G166" s="9"/>
    </row>
    <row r="167" spans="5:7" ht="12" customHeight="1">
      <c r="E167" s="7"/>
      <c r="F167" s="9"/>
      <c r="G167" s="9"/>
    </row>
    <row r="168" spans="5:7" ht="12" customHeight="1">
      <c r="E168" s="7"/>
      <c r="F168" s="9"/>
      <c r="G168" s="9"/>
    </row>
    <row r="169" spans="5:7" ht="12" customHeight="1">
      <c r="E169" s="7"/>
      <c r="F169" s="9"/>
      <c r="G169" s="9"/>
    </row>
    <row r="170" spans="5:7" ht="12" customHeight="1">
      <c r="E170" s="7"/>
      <c r="F170" s="9"/>
      <c r="G170" s="9"/>
    </row>
    <row r="171" spans="5:7" ht="12" customHeight="1">
      <c r="E171" s="7"/>
      <c r="F171" s="9"/>
      <c r="G171" s="9"/>
    </row>
    <row r="172" spans="5:7" ht="12" customHeight="1">
      <c r="E172" s="7"/>
      <c r="F172" s="9"/>
      <c r="G172" s="9"/>
    </row>
    <row r="173" spans="5:7" ht="12" customHeight="1">
      <c r="E173" s="7"/>
      <c r="F173" s="9"/>
      <c r="G173" s="9"/>
    </row>
    <row r="174" spans="5:7" ht="12" customHeight="1">
      <c r="E174" s="7"/>
      <c r="F174" s="9"/>
      <c r="G174" s="9"/>
    </row>
    <row r="175" spans="5:7" ht="12" customHeight="1">
      <c r="E175" s="7"/>
      <c r="F175" s="9"/>
      <c r="G175" s="9"/>
    </row>
    <row r="176" spans="5:7" ht="12" customHeight="1">
      <c r="E176" s="7"/>
      <c r="F176" s="9"/>
      <c r="G176" s="9"/>
    </row>
    <row r="177" spans="5:7" ht="12" customHeight="1">
      <c r="E177" s="7"/>
      <c r="F177" s="9"/>
      <c r="G177" s="9"/>
    </row>
    <row r="178" spans="5:7" ht="12" customHeight="1">
      <c r="E178" s="7"/>
      <c r="F178" s="9"/>
      <c r="G178" s="9"/>
    </row>
    <row r="179" spans="5:7" ht="12" customHeight="1">
      <c r="E179" s="7"/>
      <c r="F179" s="9"/>
      <c r="G179" s="9"/>
    </row>
    <row r="180" spans="5:7" ht="12" customHeight="1">
      <c r="E180" s="7"/>
      <c r="F180" s="9"/>
      <c r="G180" s="9"/>
    </row>
    <row r="181" spans="5:7" ht="12" customHeight="1">
      <c r="E181" s="7"/>
      <c r="F181" s="9"/>
      <c r="G181" s="9"/>
    </row>
    <row r="182" spans="5:7" ht="12" customHeight="1">
      <c r="E182" s="7"/>
      <c r="F182" s="9"/>
      <c r="G182" s="9"/>
    </row>
    <row r="183" spans="5:7" ht="12" customHeight="1">
      <c r="E183" s="7"/>
      <c r="F183" s="9"/>
      <c r="G183" s="9"/>
    </row>
    <row r="184" spans="5:7" ht="12" customHeight="1">
      <c r="E184" s="7"/>
      <c r="F184" s="9"/>
      <c r="G184" s="9"/>
    </row>
    <row r="185" spans="5:7" ht="12" customHeight="1">
      <c r="E185" s="7"/>
      <c r="F185" s="9"/>
      <c r="G185" s="9"/>
    </row>
    <row r="186" spans="5:7" ht="12" customHeight="1">
      <c r="E186" s="7"/>
      <c r="F186" s="9"/>
      <c r="G186" s="9"/>
    </row>
    <row r="187" spans="5:7" ht="12" customHeight="1">
      <c r="E187" s="7"/>
      <c r="F187" s="9"/>
      <c r="G187" s="9"/>
    </row>
    <row r="188" spans="5:7" ht="12" customHeight="1">
      <c r="E188" s="7"/>
      <c r="F188" s="9"/>
      <c r="G188" s="9"/>
    </row>
    <row r="189" spans="5:7" ht="12" customHeight="1">
      <c r="E189" s="7"/>
      <c r="F189" s="9"/>
      <c r="G189" s="9"/>
    </row>
    <row r="190" spans="5:7" ht="12" customHeight="1">
      <c r="E190" s="7"/>
      <c r="F190" s="9"/>
      <c r="G190" s="9"/>
    </row>
    <row r="191" spans="5:7" ht="12" customHeight="1">
      <c r="E191" s="7"/>
      <c r="F191" s="9"/>
      <c r="G191" s="9"/>
    </row>
    <row r="192" spans="5:7" ht="12" customHeight="1">
      <c r="E192" s="7"/>
      <c r="F192" s="9"/>
      <c r="G192" s="9"/>
    </row>
    <row r="193" spans="5:7" ht="12" customHeight="1">
      <c r="E193" s="7"/>
      <c r="F193" s="9"/>
      <c r="G193" s="9"/>
    </row>
    <row r="194" spans="5:7" ht="12" customHeight="1">
      <c r="E194" s="7"/>
      <c r="F194" s="9"/>
      <c r="G194" s="9"/>
    </row>
    <row r="195" spans="5:7" ht="12" customHeight="1">
      <c r="E195" s="7"/>
      <c r="F195" s="9"/>
      <c r="G195" s="9"/>
    </row>
    <row r="196" spans="5:7" ht="12" customHeight="1">
      <c r="E196" s="7"/>
      <c r="F196" s="9"/>
      <c r="G196" s="9"/>
    </row>
    <row r="197" spans="5:7" ht="12" customHeight="1">
      <c r="E197" s="7"/>
      <c r="F197" s="9"/>
      <c r="G197" s="9"/>
    </row>
    <row r="198" spans="5:7" ht="12" customHeight="1">
      <c r="E198" s="7"/>
      <c r="F198" s="9"/>
      <c r="G198" s="9"/>
    </row>
    <row r="199" spans="5:7" ht="12" customHeight="1">
      <c r="E199" s="7"/>
      <c r="F199" s="9"/>
      <c r="G199" s="9"/>
    </row>
    <row r="200" spans="5:7" ht="12" customHeight="1">
      <c r="E200" s="7"/>
      <c r="F200" s="9"/>
      <c r="G200" s="9"/>
    </row>
  </sheetData>
  <conditionalFormatting sqref="K2:K50">
    <cfRule type="expression" dxfId="3" priority="1">
      <formula>K2="Full"</formula>
    </cfRule>
    <cfRule type="expression" dxfId="2" priority="2">
      <formula>K2="Available"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"/>
  <sheetViews>
    <sheetView workbookViewId="0"/>
  </sheetViews>
  <sheetFormatPr defaultRowHeight="13.8"/>
  <cols>
    <col min="1" max="1" width="12" customWidth="1"/>
    <col min="2" max="2" width="24" customWidth="1"/>
    <col min="3" max="4" width="22" customWidth="1"/>
    <col min="5" max="7" width="10" customWidth="1"/>
    <col min="8" max="8" width="16" customWidth="1"/>
    <col min="9" max="9" width="36" customWidth="1"/>
  </cols>
  <sheetData>
    <row r="1" spans="1:9" ht="12" customHeight="1">
      <c r="A1" s="3" t="s">
        <v>52</v>
      </c>
      <c r="B1" s="3" t="s">
        <v>12</v>
      </c>
      <c r="C1" s="3" t="s">
        <v>209</v>
      </c>
      <c r="D1" s="3" t="s">
        <v>210</v>
      </c>
      <c r="E1" s="3" t="s">
        <v>180</v>
      </c>
      <c r="F1" s="3" t="s">
        <v>211</v>
      </c>
      <c r="G1" s="3" t="s">
        <v>15</v>
      </c>
      <c r="H1" s="3" t="s">
        <v>212</v>
      </c>
      <c r="I1" s="3" t="s">
        <v>213</v>
      </c>
    </row>
    <row r="2" spans="1:9" ht="12" customHeight="1">
      <c r="A2" s="7">
        <v>46188</v>
      </c>
      <c r="B2" t="s">
        <v>16</v>
      </c>
      <c r="C2" t="s">
        <v>214</v>
      </c>
      <c r="D2" t="s">
        <v>32</v>
      </c>
      <c r="E2">
        <v>36</v>
      </c>
      <c r="F2">
        <f>COUNTIFS('Appointment Scheduler'!$D$2:$D$200,B2,'Appointment Scheduler'!$F$2:$F$200,A2,'Appointment Scheduler'!$K$2:$K$200,"&lt;&gt;Cancelled")</f>
        <v>2</v>
      </c>
      <c r="G2">
        <f t="shared" ref="G2:G13" si="0">MAX(E2-F2,0)</f>
        <v>34</v>
      </c>
      <c r="H2">
        <v>4</v>
      </c>
      <c r="I2" t="s">
        <v>215</v>
      </c>
    </row>
    <row r="3" spans="1:9" ht="12" customHeight="1">
      <c r="A3" s="7">
        <v>46188</v>
      </c>
      <c r="B3" t="s">
        <v>17</v>
      </c>
      <c r="C3" t="s">
        <v>214</v>
      </c>
      <c r="D3" t="s">
        <v>216</v>
      </c>
      <c r="E3">
        <v>24</v>
      </c>
      <c r="F3">
        <f>COUNTIFS('Appointment Scheduler'!$D$2:$D$200,B3,'Appointment Scheduler'!$F$2:$F$200,A3,'Appointment Scheduler'!$K$2:$K$200,"&lt;&gt;Cancelled")</f>
        <v>2</v>
      </c>
      <c r="G3">
        <f t="shared" si="0"/>
        <v>22</v>
      </c>
      <c r="H3">
        <v>2</v>
      </c>
      <c r="I3" t="s">
        <v>215</v>
      </c>
    </row>
    <row r="4" spans="1:9" ht="12" customHeight="1">
      <c r="A4" s="7">
        <v>46188</v>
      </c>
      <c r="B4" t="s">
        <v>18</v>
      </c>
      <c r="C4" t="s">
        <v>214</v>
      </c>
      <c r="D4" t="s">
        <v>217</v>
      </c>
      <c r="E4">
        <v>16</v>
      </c>
      <c r="F4">
        <f>COUNTIFS('Appointment Scheduler'!$D$2:$D$200,B4,'Appointment Scheduler'!$F$2:$F$200,A4,'Appointment Scheduler'!$K$2:$K$200,"&lt;&gt;Cancelled")</f>
        <v>1</v>
      </c>
      <c r="G4">
        <f t="shared" si="0"/>
        <v>15</v>
      </c>
      <c r="H4">
        <v>3</v>
      </c>
      <c r="I4" t="s">
        <v>215</v>
      </c>
    </row>
    <row r="5" spans="1:9" ht="12" customHeight="1">
      <c r="A5" s="7">
        <v>46188</v>
      </c>
      <c r="B5" t="s">
        <v>19</v>
      </c>
      <c r="C5" t="s">
        <v>214</v>
      </c>
      <c r="D5" t="s">
        <v>218</v>
      </c>
      <c r="E5">
        <v>28</v>
      </c>
      <c r="F5">
        <f>COUNTIFS('Appointment Scheduler'!$D$2:$D$200,B5,'Appointment Scheduler'!$F$2:$F$200,A5,'Appointment Scheduler'!$K$2:$K$200,"&lt;&gt;Cancelled")</f>
        <v>2</v>
      </c>
      <c r="G5">
        <f t="shared" si="0"/>
        <v>26</v>
      </c>
      <c r="H5">
        <v>3</v>
      </c>
      <c r="I5" t="s">
        <v>215</v>
      </c>
    </row>
    <row r="6" spans="1:9" ht="12" customHeight="1">
      <c r="A6" s="7">
        <v>46188</v>
      </c>
      <c r="B6" t="s">
        <v>21</v>
      </c>
      <c r="C6" t="s">
        <v>214</v>
      </c>
      <c r="D6" t="s">
        <v>219</v>
      </c>
      <c r="E6">
        <v>30</v>
      </c>
      <c r="F6">
        <f>COUNTIFS('Appointment Scheduler'!$D$2:$D$200,B6,'Appointment Scheduler'!$F$2:$F$200,A6,'Appointment Scheduler'!$K$2:$K$200,"&lt;&gt;Cancelled")</f>
        <v>1</v>
      </c>
      <c r="G6">
        <f t="shared" si="0"/>
        <v>29</v>
      </c>
      <c r="H6">
        <v>2</v>
      </c>
      <c r="I6" t="s">
        <v>215</v>
      </c>
    </row>
    <row r="7" spans="1:9" ht="12" customHeight="1">
      <c r="A7" s="7">
        <v>46188</v>
      </c>
      <c r="B7" t="s">
        <v>23</v>
      </c>
      <c r="C7" t="s">
        <v>214</v>
      </c>
      <c r="D7" t="s">
        <v>220</v>
      </c>
      <c r="E7">
        <v>20</v>
      </c>
      <c r="F7">
        <f>COUNTIFS('Appointment Scheduler'!$D$2:$D$200,B7,'Appointment Scheduler'!$F$2:$F$200,A7,'Appointment Scheduler'!$K$2:$K$200,"&lt;&gt;Cancelled")</f>
        <v>1</v>
      </c>
      <c r="G7">
        <f t="shared" si="0"/>
        <v>19</v>
      </c>
      <c r="H7">
        <v>1</v>
      </c>
      <c r="I7" t="s">
        <v>215</v>
      </c>
    </row>
    <row r="8" spans="1:9" ht="12" customHeight="1">
      <c r="A8" s="7">
        <v>46189</v>
      </c>
      <c r="B8" t="s">
        <v>16</v>
      </c>
      <c r="C8" t="s">
        <v>214</v>
      </c>
      <c r="D8" t="s">
        <v>32</v>
      </c>
      <c r="E8">
        <v>36</v>
      </c>
      <c r="F8">
        <f>COUNTIFS('Appointment Scheduler'!$D$2:$D$200,B8,'Appointment Scheduler'!$F$2:$F$200,A8,'Appointment Scheduler'!$K$2:$K$200,"&lt;&gt;Cancelled")</f>
        <v>2</v>
      </c>
      <c r="G8">
        <f t="shared" si="0"/>
        <v>34</v>
      </c>
      <c r="H8">
        <v>4</v>
      </c>
      <c r="I8" t="s">
        <v>215</v>
      </c>
    </row>
    <row r="9" spans="1:9" ht="12" customHeight="1">
      <c r="A9" s="7">
        <v>46189</v>
      </c>
      <c r="B9" t="s">
        <v>17</v>
      </c>
      <c r="C9" t="s">
        <v>214</v>
      </c>
      <c r="D9" t="s">
        <v>216</v>
      </c>
      <c r="E9">
        <v>24</v>
      </c>
      <c r="F9">
        <f>COUNTIFS('Appointment Scheduler'!$D$2:$D$200,B9,'Appointment Scheduler'!$F$2:$F$200,A9,'Appointment Scheduler'!$K$2:$K$200,"&lt;&gt;Cancelled")</f>
        <v>1</v>
      </c>
      <c r="G9">
        <f t="shared" si="0"/>
        <v>23</v>
      </c>
      <c r="H9">
        <v>2</v>
      </c>
      <c r="I9" t="s">
        <v>215</v>
      </c>
    </row>
    <row r="10" spans="1:9" ht="12" customHeight="1">
      <c r="A10" s="7">
        <v>46189</v>
      </c>
      <c r="B10" t="s">
        <v>18</v>
      </c>
      <c r="C10" t="s">
        <v>214</v>
      </c>
      <c r="D10" t="s">
        <v>217</v>
      </c>
      <c r="E10">
        <v>16</v>
      </c>
      <c r="F10">
        <f>COUNTIFS('Appointment Scheduler'!$D$2:$D$200,B10,'Appointment Scheduler'!$F$2:$F$200,A10,'Appointment Scheduler'!$K$2:$K$200,"&lt;&gt;Cancelled")</f>
        <v>2</v>
      </c>
      <c r="G10">
        <f t="shared" si="0"/>
        <v>14</v>
      </c>
      <c r="H10">
        <v>3</v>
      </c>
      <c r="I10" t="s">
        <v>215</v>
      </c>
    </row>
    <row r="11" spans="1:9" ht="12" customHeight="1">
      <c r="A11" s="7">
        <v>46189</v>
      </c>
      <c r="B11" t="s">
        <v>19</v>
      </c>
      <c r="C11" t="s">
        <v>214</v>
      </c>
      <c r="D11" t="s">
        <v>218</v>
      </c>
      <c r="E11">
        <v>28</v>
      </c>
      <c r="F11">
        <f>COUNTIFS('Appointment Scheduler'!$D$2:$D$200,B11,'Appointment Scheduler'!$F$2:$F$200,A11,'Appointment Scheduler'!$K$2:$K$200,"&lt;&gt;Cancelled")</f>
        <v>2</v>
      </c>
      <c r="G11">
        <f t="shared" si="0"/>
        <v>26</v>
      </c>
      <c r="H11">
        <v>3</v>
      </c>
      <c r="I11" t="s">
        <v>215</v>
      </c>
    </row>
    <row r="12" spans="1:9" ht="12" customHeight="1">
      <c r="A12" s="7">
        <v>46189</v>
      </c>
      <c r="B12" t="s">
        <v>21</v>
      </c>
      <c r="C12" t="s">
        <v>214</v>
      </c>
      <c r="D12" t="s">
        <v>219</v>
      </c>
      <c r="E12">
        <v>30</v>
      </c>
      <c r="F12">
        <f>COUNTIFS('Appointment Scheduler'!$D$2:$D$200,B12,'Appointment Scheduler'!$F$2:$F$200,A12,'Appointment Scheduler'!$K$2:$K$200,"&lt;&gt;Cancelled")</f>
        <v>2</v>
      </c>
      <c r="G12">
        <f t="shared" si="0"/>
        <v>28</v>
      </c>
      <c r="H12">
        <v>2</v>
      </c>
      <c r="I12" t="s">
        <v>215</v>
      </c>
    </row>
    <row r="13" spans="1:9" ht="12" customHeight="1">
      <c r="A13" s="7">
        <v>46189</v>
      </c>
      <c r="B13" t="s">
        <v>23</v>
      </c>
      <c r="C13" t="s">
        <v>214</v>
      </c>
      <c r="D13" t="s">
        <v>220</v>
      </c>
      <c r="E13">
        <v>20</v>
      </c>
      <c r="F13">
        <f>COUNTIFS('Appointment Scheduler'!$D$2:$D$200,B13,'Appointment Scheduler'!$F$2:$F$200,A13,'Appointment Scheduler'!$K$2:$K$200,"&lt;&gt;Cancelled")</f>
        <v>1</v>
      </c>
      <c r="G13">
        <f t="shared" si="0"/>
        <v>19</v>
      </c>
      <c r="H13">
        <v>1</v>
      </c>
      <c r="I13" t="s">
        <v>215</v>
      </c>
    </row>
    <row r="14" spans="1:9" ht="12" customHeight="1">
      <c r="A14" s="7"/>
    </row>
    <row r="15" spans="1:9" ht="12" customHeight="1">
      <c r="A15" s="7"/>
    </row>
    <row r="16" spans="1:9" ht="12" customHeight="1">
      <c r="A16" s="7"/>
    </row>
    <row r="17" spans="1:1" ht="12" customHeight="1">
      <c r="A17" s="7"/>
    </row>
    <row r="18" spans="1:1" ht="12" customHeight="1">
      <c r="A18" s="7"/>
    </row>
    <row r="19" spans="1:1" ht="12" customHeight="1">
      <c r="A19" s="7"/>
    </row>
    <row r="20" spans="1:1" ht="12" customHeight="1">
      <c r="A20" s="7"/>
    </row>
    <row r="21" spans="1:1" ht="12" customHeight="1">
      <c r="A21" s="7"/>
    </row>
    <row r="22" spans="1:1" ht="12" customHeight="1">
      <c r="A22" s="7"/>
    </row>
    <row r="23" spans="1:1" ht="12" customHeight="1">
      <c r="A23" s="7"/>
    </row>
    <row r="24" spans="1:1" ht="12" customHeight="1">
      <c r="A24" s="7"/>
    </row>
    <row r="25" spans="1:1" ht="12" customHeight="1">
      <c r="A25" s="7"/>
    </row>
    <row r="26" spans="1:1" ht="12" customHeight="1">
      <c r="A26" s="7"/>
    </row>
    <row r="27" spans="1:1" ht="12" customHeight="1">
      <c r="A27" s="7"/>
    </row>
    <row r="28" spans="1:1" ht="12" customHeight="1">
      <c r="A28" s="7"/>
    </row>
    <row r="29" spans="1:1" ht="12" customHeight="1">
      <c r="A29" s="7"/>
    </row>
    <row r="30" spans="1:1" ht="12" customHeight="1">
      <c r="A30" s="7"/>
    </row>
    <row r="31" spans="1:1" ht="12" customHeight="1">
      <c r="A31" s="7"/>
    </row>
    <row r="32" spans="1:1" ht="12" customHeight="1">
      <c r="A32" s="7"/>
    </row>
    <row r="33" spans="1:1" ht="12" customHeight="1">
      <c r="A33" s="7"/>
    </row>
    <row r="34" spans="1:1" ht="12" customHeight="1">
      <c r="A34" s="7"/>
    </row>
    <row r="35" spans="1:1" ht="12" customHeight="1">
      <c r="A35" s="7"/>
    </row>
    <row r="36" spans="1:1" ht="12" customHeight="1">
      <c r="A36" s="7"/>
    </row>
    <row r="37" spans="1:1" ht="12" customHeight="1">
      <c r="A37" s="7"/>
    </row>
    <row r="38" spans="1:1" ht="12" customHeight="1">
      <c r="A38" s="7"/>
    </row>
    <row r="39" spans="1:1" ht="12" customHeight="1">
      <c r="A39" s="7"/>
    </row>
    <row r="40" spans="1:1" ht="12" customHeight="1">
      <c r="A40" s="7"/>
    </row>
    <row r="41" spans="1:1" ht="12" customHeight="1">
      <c r="A41" s="7"/>
    </row>
    <row r="42" spans="1:1" ht="12" customHeight="1">
      <c r="A42" s="7"/>
    </row>
    <row r="43" spans="1:1" ht="12" customHeight="1">
      <c r="A43" s="7"/>
    </row>
    <row r="44" spans="1:1" ht="12" customHeight="1">
      <c r="A44" s="7"/>
    </row>
    <row r="45" spans="1:1" ht="12" customHeight="1">
      <c r="A45" s="7"/>
    </row>
    <row r="46" spans="1:1" ht="12" customHeight="1">
      <c r="A46" s="7"/>
    </row>
    <row r="47" spans="1:1" ht="12" customHeight="1">
      <c r="A47" s="7"/>
    </row>
    <row r="48" spans="1:1" ht="12" customHeight="1">
      <c r="A48" s="7"/>
    </row>
    <row r="49" spans="1:1" ht="12" customHeight="1">
      <c r="A49" s="7"/>
    </row>
    <row r="50" spans="1:1" ht="12" customHeight="1">
      <c r="A50" s="7"/>
    </row>
    <row r="51" spans="1:1" ht="12" customHeight="1">
      <c r="A51" s="7"/>
    </row>
    <row r="52" spans="1:1" ht="12" customHeight="1">
      <c r="A52" s="7"/>
    </row>
    <row r="53" spans="1:1" ht="12" customHeight="1">
      <c r="A53" s="7"/>
    </row>
    <row r="54" spans="1:1" ht="12" customHeight="1">
      <c r="A54" s="7"/>
    </row>
    <row r="55" spans="1:1" ht="12" customHeight="1">
      <c r="A55" s="7"/>
    </row>
    <row r="56" spans="1:1" ht="12" customHeight="1">
      <c r="A56" s="7"/>
    </row>
    <row r="57" spans="1:1" ht="12" customHeight="1">
      <c r="A57" s="7"/>
    </row>
    <row r="58" spans="1:1" ht="12" customHeight="1">
      <c r="A58" s="7"/>
    </row>
    <row r="59" spans="1:1" ht="12" customHeight="1">
      <c r="A59" s="7"/>
    </row>
    <row r="60" spans="1:1" ht="12" customHeight="1">
      <c r="A60" s="7"/>
    </row>
    <row r="61" spans="1:1" ht="12" customHeight="1">
      <c r="A61" s="7"/>
    </row>
    <row r="62" spans="1:1" ht="12" customHeight="1">
      <c r="A62" s="7"/>
    </row>
    <row r="63" spans="1:1" ht="12" customHeight="1">
      <c r="A63" s="7"/>
    </row>
    <row r="64" spans="1:1" ht="12" customHeight="1">
      <c r="A64" s="7"/>
    </row>
    <row r="65" spans="1:1" ht="12" customHeight="1">
      <c r="A65" s="7"/>
    </row>
    <row r="66" spans="1:1" ht="12" customHeight="1">
      <c r="A66" s="7"/>
    </row>
    <row r="67" spans="1:1" ht="12" customHeight="1">
      <c r="A67" s="7"/>
    </row>
    <row r="68" spans="1:1" ht="12" customHeight="1">
      <c r="A68" s="7"/>
    </row>
    <row r="69" spans="1:1" ht="12" customHeight="1">
      <c r="A69" s="7"/>
    </row>
    <row r="70" spans="1:1" ht="12" customHeight="1">
      <c r="A70" s="7"/>
    </row>
    <row r="71" spans="1:1" ht="12" customHeight="1">
      <c r="A71" s="7"/>
    </row>
    <row r="72" spans="1:1" ht="12" customHeight="1">
      <c r="A72" s="7"/>
    </row>
    <row r="73" spans="1:1" ht="12" customHeight="1">
      <c r="A73" s="7"/>
    </row>
    <row r="74" spans="1:1" ht="12" customHeight="1">
      <c r="A74" s="7"/>
    </row>
    <row r="75" spans="1:1" ht="12" customHeight="1">
      <c r="A75" s="7"/>
    </row>
    <row r="76" spans="1:1" ht="12" customHeight="1">
      <c r="A76" s="7"/>
    </row>
    <row r="77" spans="1:1" ht="12" customHeight="1">
      <c r="A77" s="7"/>
    </row>
    <row r="78" spans="1:1" ht="12" customHeight="1">
      <c r="A78" s="7"/>
    </row>
    <row r="79" spans="1:1" ht="12" customHeight="1">
      <c r="A79" s="7"/>
    </row>
    <row r="80" spans="1:1" ht="12" customHeight="1">
      <c r="A80" s="7"/>
    </row>
    <row r="81" spans="1:1" ht="12" customHeight="1">
      <c r="A81" s="7"/>
    </row>
    <row r="82" spans="1:1" ht="12" customHeight="1">
      <c r="A82" s="7"/>
    </row>
    <row r="83" spans="1:1" ht="12" customHeight="1">
      <c r="A83" s="7"/>
    </row>
    <row r="84" spans="1:1" ht="12" customHeight="1">
      <c r="A84" s="7"/>
    </row>
    <row r="85" spans="1:1" ht="12" customHeight="1">
      <c r="A85" s="7"/>
    </row>
    <row r="86" spans="1:1" ht="12" customHeight="1">
      <c r="A86" s="7"/>
    </row>
    <row r="87" spans="1:1" ht="12" customHeight="1">
      <c r="A87" s="7"/>
    </row>
    <row r="88" spans="1:1" ht="12" customHeight="1">
      <c r="A88" s="7"/>
    </row>
    <row r="89" spans="1:1" ht="12" customHeight="1">
      <c r="A89" s="7"/>
    </row>
    <row r="90" spans="1:1" ht="12" customHeight="1">
      <c r="A90" s="7"/>
    </row>
    <row r="91" spans="1:1" ht="12" customHeight="1">
      <c r="A91" s="7"/>
    </row>
    <row r="92" spans="1:1" ht="12" customHeight="1">
      <c r="A92" s="7"/>
    </row>
    <row r="93" spans="1:1" ht="12" customHeight="1">
      <c r="A93" s="7"/>
    </row>
    <row r="94" spans="1:1" ht="12" customHeight="1">
      <c r="A94" s="7"/>
    </row>
    <row r="95" spans="1:1" ht="12" customHeight="1">
      <c r="A95" s="7"/>
    </row>
    <row r="96" spans="1:1" ht="12" customHeight="1">
      <c r="A96" s="7"/>
    </row>
    <row r="97" spans="1:1" ht="12" customHeight="1">
      <c r="A97" s="7"/>
    </row>
    <row r="98" spans="1:1" ht="12" customHeight="1">
      <c r="A98" s="7"/>
    </row>
    <row r="99" spans="1:1" ht="12" customHeight="1">
      <c r="A99" s="7"/>
    </row>
    <row r="100" spans="1:1" ht="12" customHeight="1">
      <c r="A100" s="7"/>
    </row>
  </sheetData>
  <conditionalFormatting sqref="G2:G100">
    <cfRule type="cellIs" dxfId="1" priority="1" operator="lessThanOrEqual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"/>
  <sheetViews>
    <sheetView workbookViewId="0"/>
  </sheetViews>
  <sheetFormatPr defaultRowHeight="13.8"/>
  <cols>
    <col min="1" max="1" width="12" customWidth="1"/>
    <col min="2" max="2" width="14" customWidth="1"/>
    <col min="3" max="4" width="18" customWidth="1"/>
    <col min="5" max="8" width="12" customWidth="1"/>
    <col min="9" max="9" width="28" customWidth="1"/>
    <col min="10" max="10" width="30" customWidth="1"/>
    <col min="11" max="11" width="16" customWidth="1"/>
    <col min="12" max="13" width="18" customWidth="1"/>
    <col min="14" max="14" width="14" customWidth="1"/>
  </cols>
  <sheetData>
    <row r="1" spans="1:14" ht="12" customHeight="1">
      <c r="A1" s="3" t="s">
        <v>221</v>
      </c>
      <c r="B1" s="3" t="s">
        <v>48</v>
      </c>
      <c r="C1" s="3" t="s">
        <v>50</v>
      </c>
      <c r="D1" s="3" t="s">
        <v>222</v>
      </c>
      <c r="E1" s="3" t="s">
        <v>223</v>
      </c>
      <c r="F1" s="3" t="s">
        <v>224</v>
      </c>
      <c r="G1" s="3" t="s">
        <v>225</v>
      </c>
      <c r="H1" s="3" t="s">
        <v>226</v>
      </c>
      <c r="I1" s="3" t="s">
        <v>227</v>
      </c>
      <c r="J1" s="3" t="s">
        <v>228</v>
      </c>
      <c r="K1" s="3" t="s">
        <v>86</v>
      </c>
      <c r="L1" s="3" t="s">
        <v>172</v>
      </c>
      <c r="M1" s="3" t="s">
        <v>27</v>
      </c>
      <c r="N1" s="3" t="s">
        <v>29</v>
      </c>
    </row>
    <row r="2" spans="1:14" ht="12" customHeight="1">
      <c r="A2" t="s">
        <v>229</v>
      </c>
      <c r="B2" t="s">
        <v>111</v>
      </c>
      <c r="C2" t="s">
        <v>113</v>
      </c>
      <c r="D2" t="s">
        <v>230</v>
      </c>
      <c r="E2" s="7">
        <v>46188</v>
      </c>
      <c r="F2" s="9">
        <v>46188.5</v>
      </c>
      <c r="G2" s="7">
        <v>46189</v>
      </c>
      <c r="H2" s="9">
        <v>46189.458333333336</v>
      </c>
      <c r="I2" t="s">
        <v>231</v>
      </c>
      <c r="J2" t="s">
        <v>232</v>
      </c>
      <c r="K2" t="s">
        <v>233</v>
      </c>
      <c r="L2" t="s">
        <v>233</v>
      </c>
      <c r="M2" t="s">
        <v>46</v>
      </c>
      <c r="N2" t="s">
        <v>234</v>
      </c>
    </row>
    <row r="3" spans="1:14" ht="12" customHeight="1">
      <c r="A3" t="s">
        <v>235</v>
      </c>
      <c r="B3" t="s">
        <v>120</v>
      </c>
      <c r="C3" t="s">
        <v>122</v>
      </c>
      <c r="D3" t="s">
        <v>236</v>
      </c>
      <c r="E3" s="7">
        <v>46188</v>
      </c>
      <c r="F3" s="9">
        <v>46188.583333333336</v>
      </c>
      <c r="G3" s="7"/>
      <c r="H3" s="9"/>
      <c r="I3" t="s">
        <v>237</v>
      </c>
      <c r="J3" t="s">
        <v>238</v>
      </c>
      <c r="K3" t="s">
        <v>233</v>
      </c>
      <c r="L3" t="s">
        <v>233</v>
      </c>
      <c r="M3" t="s">
        <v>41</v>
      </c>
      <c r="N3" t="s">
        <v>234</v>
      </c>
    </row>
    <row r="4" spans="1:14" ht="12" customHeight="1">
      <c r="A4" t="s">
        <v>239</v>
      </c>
      <c r="B4" t="s">
        <v>144</v>
      </c>
      <c r="C4" t="s">
        <v>146</v>
      </c>
      <c r="D4" t="s">
        <v>240</v>
      </c>
      <c r="E4" s="7">
        <v>46189</v>
      </c>
      <c r="F4" s="9">
        <v>46189.4375</v>
      </c>
      <c r="G4" s="7">
        <v>46189</v>
      </c>
      <c r="H4" s="9">
        <v>46189.423611111109</v>
      </c>
      <c r="I4" t="s">
        <v>241</v>
      </c>
      <c r="J4" t="s">
        <v>242</v>
      </c>
      <c r="K4" t="s">
        <v>233</v>
      </c>
      <c r="L4" t="s">
        <v>233</v>
      </c>
      <c r="M4" t="s">
        <v>217</v>
      </c>
      <c r="N4" t="s">
        <v>34</v>
      </c>
    </row>
    <row r="5" spans="1:14" ht="12" customHeight="1">
      <c r="A5" t="s">
        <v>243</v>
      </c>
      <c r="B5" t="s">
        <v>161</v>
      </c>
      <c r="C5" t="s">
        <v>163</v>
      </c>
      <c r="D5" t="s">
        <v>230</v>
      </c>
      <c r="E5" s="7">
        <v>46189</v>
      </c>
      <c r="F5" s="9">
        <v>46189.572916666664</v>
      </c>
      <c r="G5" s="7">
        <v>46190</v>
      </c>
      <c r="H5" s="9">
        <v>46190.395833333336</v>
      </c>
      <c r="I5" t="s">
        <v>244</v>
      </c>
      <c r="J5" t="s">
        <v>245</v>
      </c>
      <c r="K5" t="s">
        <v>233</v>
      </c>
      <c r="L5" t="s">
        <v>233</v>
      </c>
      <c r="M5" t="s">
        <v>37</v>
      </c>
      <c r="N5" t="s">
        <v>43</v>
      </c>
    </row>
    <row r="6" spans="1:14" ht="12" customHeight="1">
      <c r="E6" s="7"/>
      <c r="F6" s="9"/>
      <c r="G6" s="7"/>
      <c r="H6" s="9"/>
    </row>
    <row r="7" spans="1:14" ht="12" customHeight="1">
      <c r="E7" s="7"/>
      <c r="F7" s="9"/>
      <c r="G7" s="7"/>
      <c r="H7" s="9"/>
    </row>
    <row r="8" spans="1:14" ht="12" customHeight="1">
      <c r="E8" s="7"/>
      <c r="F8" s="9"/>
      <c r="G8" s="7"/>
      <c r="H8" s="9"/>
    </row>
    <row r="9" spans="1:14" ht="12" customHeight="1">
      <c r="E9" s="7"/>
      <c r="F9" s="9"/>
      <c r="G9" s="7"/>
      <c r="H9" s="9"/>
    </row>
    <row r="10" spans="1:14" ht="12" customHeight="1">
      <c r="E10" s="7"/>
      <c r="F10" s="9"/>
      <c r="G10" s="7"/>
      <c r="H10" s="9"/>
    </row>
    <row r="11" spans="1:14" ht="12" customHeight="1">
      <c r="E11" s="7"/>
      <c r="F11" s="9"/>
      <c r="G11" s="7"/>
      <c r="H11" s="9"/>
    </row>
    <row r="12" spans="1:14" ht="12" customHeight="1">
      <c r="E12" s="7"/>
      <c r="F12" s="9"/>
      <c r="G12" s="7"/>
      <c r="H12" s="9"/>
    </row>
    <row r="13" spans="1:14" ht="12" customHeight="1">
      <c r="E13" s="7"/>
      <c r="F13" s="9"/>
      <c r="G13" s="7"/>
      <c r="H13" s="9"/>
    </row>
    <row r="14" spans="1:14" ht="12" customHeight="1">
      <c r="E14" s="7"/>
      <c r="F14" s="9"/>
      <c r="G14" s="7"/>
      <c r="H14" s="9"/>
    </row>
    <row r="15" spans="1:14" ht="12" customHeight="1">
      <c r="E15" s="7"/>
      <c r="F15" s="9"/>
      <c r="G15" s="7"/>
      <c r="H15" s="9"/>
    </row>
    <row r="16" spans="1:14" ht="12" customHeight="1">
      <c r="E16" s="7"/>
      <c r="F16" s="9"/>
      <c r="G16" s="7"/>
      <c r="H16" s="9"/>
    </row>
    <row r="17" spans="5:8" ht="12" customHeight="1">
      <c r="E17" s="7"/>
      <c r="F17" s="9"/>
      <c r="G17" s="7"/>
      <c r="H17" s="9"/>
    </row>
    <row r="18" spans="5:8" ht="12" customHeight="1">
      <c r="E18" s="7"/>
      <c r="F18" s="9"/>
      <c r="G18" s="7"/>
      <c r="H18" s="9"/>
    </row>
    <row r="19" spans="5:8" ht="12" customHeight="1">
      <c r="E19" s="7"/>
      <c r="F19" s="9"/>
      <c r="G19" s="7"/>
      <c r="H19" s="9"/>
    </row>
    <row r="20" spans="5:8" ht="12" customHeight="1">
      <c r="E20" s="7"/>
      <c r="F20" s="9"/>
      <c r="G20" s="7"/>
      <c r="H20" s="9"/>
    </row>
    <row r="21" spans="5:8" ht="12" customHeight="1">
      <c r="E21" s="7"/>
      <c r="F21" s="9"/>
      <c r="G21" s="7"/>
      <c r="H21" s="9"/>
    </row>
    <row r="22" spans="5:8" ht="12" customHeight="1">
      <c r="E22" s="7"/>
      <c r="F22" s="9"/>
      <c r="G22" s="7"/>
      <c r="H22" s="9"/>
    </row>
    <row r="23" spans="5:8" ht="12" customHeight="1">
      <c r="E23" s="7"/>
      <c r="F23" s="9"/>
      <c r="G23" s="7"/>
      <c r="H23" s="9"/>
    </row>
    <row r="24" spans="5:8" ht="12" customHeight="1">
      <c r="E24" s="7"/>
      <c r="F24" s="9"/>
      <c r="G24" s="7"/>
      <c r="H24" s="9"/>
    </row>
    <row r="25" spans="5:8" ht="12" customHeight="1">
      <c r="E25" s="7"/>
      <c r="F25" s="9"/>
      <c r="G25" s="7"/>
      <c r="H25" s="9"/>
    </row>
    <row r="26" spans="5:8" ht="12" customHeight="1">
      <c r="E26" s="7"/>
      <c r="F26" s="9"/>
      <c r="G26" s="7"/>
      <c r="H26" s="9"/>
    </row>
    <row r="27" spans="5:8" ht="12" customHeight="1">
      <c r="E27" s="7"/>
      <c r="F27" s="9"/>
      <c r="G27" s="7"/>
      <c r="H27" s="9"/>
    </row>
    <row r="28" spans="5:8" ht="12" customHeight="1">
      <c r="E28" s="7"/>
      <c r="F28" s="9"/>
      <c r="G28" s="7"/>
      <c r="H28" s="9"/>
    </row>
    <row r="29" spans="5:8" ht="12" customHeight="1">
      <c r="E29" s="7"/>
      <c r="F29" s="9"/>
      <c r="G29" s="7"/>
      <c r="H29" s="9"/>
    </row>
    <row r="30" spans="5:8" ht="12" customHeight="1">
      <c r="E30" s="7"/>
      <c r="F30" s="9"/>
      <c r="G30" s="7"/>
      <c r="H30" s="9"/>
    </row>
    <row r="31" spans="5:8" ht="12" customHeight="1">
      <c r="E31" s="7"/>
      <c r="F31" s="9"/>
      <c r="G31" s="7"/>
      <c r="H31" s="9"/>
    </row>
    <row r="32" spans="5:8" ht="12" customHeight="1">
      <c r="E32" s="7"/>
      <c r="F32" s="9"/>
      <c r="G32" s="7"/>
      <c r="H32" s="9"/>
    </row>
    <row r="33" spans="5:8" ht="12" customHeight="1">
      <c r="E33" s="7"/>
      <c r="F33" s="9"/>
      <c r="G33" s="7"/>
      <c r="H33" s="9"/>
    </row>
    <row r="34" spans="5:8" ht="12" customHeight="1">
      <c r="E34" s="7"/>
      <c r="F34" s="9"/>
      <c r="G34" s="7"/>
      <c r="H34" s="9"/>
    </row>
    <row r="35" spans="5:8" ht="12" customHeight="1">
      <c r="E35" s="7"/>
      <c r="F35" s="9"/>
      <c r="G35" s="7"/>
      <c r="H35" s="9"/>
    </row>
    <row r="36" spans="5:8" ht="12" customHeight="1">
      <c r="E36" s="7"/>
      <c r="F36" s="9"/>
      <c r="G36" s="7"/>
      <c r="H36" s="9"/>
    </row>
    <row r="37" spans="5:8" ht="12" customHeight="1">
      <c r="E37" s="7"/>
      <c r="F37" s="9"/>
      <c r="G37" s="7"/>
      <c r="H37" s="9"/>
    </row>
    <row r="38" spans="5:8" ht="12" customHeight="1">
      <c r="E38" s="7"/>
      <c r="F38" s="9"/>
      <c r="G38" s="7"/>
      <c r="H38" s="9"/>
    </row>
    <row r="39" spans="5:8" ht="12" customHeight="1">
      <c r="E39" s="7"/>
      <c r="F39" s="9"/>
      <c r="G39" s="7"/>
      <c r="H39" s="9"/>
    </row>
    <row r="40" spans="5:8" ht="12" customHeight="1">
      <c r="E40" s="7"/>
      <c r="F40" s="9"/>
      <c r="G40" s="7"/>
      <c r="H40" s="9"/>
    </row>
    <row r="41" spans="5:8" ht="12" customHeight="1">
      <c r="E41" s="7"/>
      <c r="F41" s="9"/>
      <c r="G41" s="7"/>
      <c r="H41" s="9"/>
    </row>
    <row r="42" spans="5:8" ht="12" customHeight="1">
      <c r="E42" s="7"/>
      <c r="F42" s="9"/>
      <c r="G42" s="7"/>
      <c r="H42" s="9"/>
    </row>
    <row r="43" spans="5:8" ht="12" customHeight="1">
      <c r="E43" s="7"/>
      <c r="F43" s="9"/>
      <c r="G43" s="7"/>
      <c r="H43" s="9"/>
    </row>
    <row r="44" spans="5:8" ht="12" customHeight="1">
      <c r="E44" s="7"/>
      <c r="F44" s="9"/>
      <c r="G44" s="7"/>
      <c r="H44" s="9"/>
    </row>
    <row r="45" spans="5:8" ht="12" customHeight="1">
      <c r="E45" s="7"/>
      <c r="F45" s="9"/>
      <c r="G45" s="7"/>
      <c r="H45" s="9"/>
    </row>
    <row r="46" spans="5:8" ht="12" customHeight="1">
      <c r="E46" s="7"/>
      <c r="F46" s="9"/>
      <c r="G46" s="7"/>
      <c r="H46" s="9"/>
    </row>
    <row r="47" spans="5:8" ht="12" customHeight="1">
      <c r="E47" s="7"/>
      <c r="F47" s="9"/>
      <c r="G47" s="7"/>
      <c r="H47" s="9"/>
    </row>
    <row r="48" spans="5:8" ht="12" customHeight="1">
      <c r="E48" s="7"/>
      <c r="F48" s="9"/>
      <c r="G48" s="7"/>
      <c r="H48" s="9"/>
    </row>
    <row r="49" spans="5:8" ht="12" customHeight="1">
      <c r="E49" s="7"/>
      <c r="F49" s="9"/>
      <c r="G49" s="7"/>
      <c r="H49" s="9"/>
    </row>
    <row r="50" spans="5:8" ht="12" customHeight="1">
      <c r="E50" s="7"/>
      <c r="F50" s="9"/>
      <c r="G50" s="7"/>
      <c r="H50" s="9"/>
    </row>
    <row r="51" spans="5:8" ht="12" customHeight="1">
      <c r="E51" s="7"/>
      <c r="F51" s="9"/>
      <c r="G51" s="7"/>
      <c r="H51" s="9"/>
    </row>
    <row r="52" spans="5:8" ht="12" customHeight="1">
      <c r="E52" s="7"/>
      <c r="F52" s="9"/>
      <c r="G52" s="7"/>
      <c r="H52" s="9"/>
    </row>
    <row r="53" spans="5:8" ht="12" customHeight="1">
      <c r="E53" s="7"/>
      <c r="F53" s="9"/>
      <c r="G53" s="7"/>
      <c r="H53" s="9"/>
    </row>
    <row r="54" spans="5:8" ht="12" customHeight="1">
      <c r="E54" s="7"/>
      <c r="F54" s="9"/>
      <c r="G54" s="7"/>
      <c r="H54" s="9"/>
    </row>
    <row r="55" spans="5:8" ht="12" customHeight="1">
      <c r="E55" s="7"/>
      <c r="F55" s="9"/>
      <c r="G55" s="7"/>
      <c r="H55" s="9"/>
    </row>
    <row r="56" spans="5:8" ht="12" customHeight="1">
      <c r="E56" s="7"/>
      <c r="F56" s="9"/>
      <c r="G56" s="7"/>
      <c r="H56" s="9"/>
    </row>
    <row r="57" spans="5:8" ht="12" customHeight="1">
      <c r="E57" s="7"/>
      <c r="F57" s="9"/>
      <c r="G57" s="7"/>
      <c r="H57" s="9"/>
    </row>
    <row r="58" spans="5:8" ht="12" customHeight="1">
      <c r="E58" s="7"/>
      <c r="F58" s="9"/>
      <c r="G58" s="7"/>
      <c r="H58" s="9"/>
    </row>
    <row r="59" spans="5:8" ht="12" customHeight="1">
      <c r="E59" s="7"/>
      <c r="F59" s="9"/>
      <c r="G59" s="7"/>
      <c r="H59" s="9"/>
    </row>
    <row r="60" spans="5:8" ht="12" customHeight="1">
      <c r="E60" s="7"/>
      <c r="F60" s="9"/>
      <c r="G60" s="7"/>
      <c r="H60" s="9"/>
    </row>
    <row r="61" spans="5:8" ht="12" customHeight="1">
      <c r="E61" s="7"/>
      <c r="F61" s="9"/>
      <c r="G61" s="7"/>
      <c r="H61" s="9"/>
    </row>
    <row r="62" spans="5:8" ht="12" customHeight="1">
      <c r="E62" s="7"/>
      <c r="F62" s="9"/>
      <c r="G62" s="7"/>
      <c r="H62" s="9"/>
    </row>
    <row r="63" spans="5:8" ht="12" customHeight="1">
      <c r="E63" s="7"/>
      <c r="F63" s="9"/>
      <c r="G63" s="7"/>
      <c r="H63" s="9"/>
    </row>
    <row r="64" spans="5:8" ht="12" customHeight="1">
      <c r="E64" s="7"/>
      <c r="F64" s="9"/>
      <c r="G64" s="7"/>
      <c r="H64" s="9"/>
    </row>
    <row r="65" spans="5:8" ht="12" customHeight="1">
      <c r="E65" s="7"/>
      <c r="F65" s="9"/>
      <c r="G65" s="7"/>
      <c r="H65" s="9"/>
    </row>
    <row r="66" spans="5:8" ht="12" customHeight="1">
      <c r="E66" s="7"/>
      <c r="F66" s="9"/>
      <c r="G66" s="7"/>
      <c r="H66" s="9"/>
    </row>
    <row r="67" spans="5:8" ht="12" customHeight="1">
      <c r="E67" s="7"/>
      <c r="F67" s="9"/>
      <c r="G67" s="7"/>
      <c r="H67" s="9"/>
    </row>
    <row r="68" spans="5:8" ht="12" customHeight="1">
      <c r="E68" s="7"/>
      <c r="F68" s="9"/>
      <c r="G68" s="7"/>
      <c r="H68" s="9"/>
    </row>
    <row r="69" spans="5:8" ht="12" customHeight="1">
      <c r="E69" s="7"/>
      <c r="F69" s="9"/>
      <c r="G69" s="7"/>
      <c r="H69" s="9"/>
    </row>
    <row r="70" spans="5:8" ht="12" customHeight="1">
      <c r="E70" s="7"/>
      <c r="F70" s="9"/>
      <c r="G70" s="7"/>
      <c r="H70" s="9"/>
    </row>
    <row r="71" spans="5:8" ht="12" customHeight="1">
      <c r="E71" s="7"/>
      <c r="F71" s="9"/>
      <c r="G71" s="7"/>
      <c r="H71" s="9"/>
    </row>
    <row r="72" spans="5:8" ht="12" customHeight="1">
      <c r="E72" s="7"/>
      <c r="F72" s="9"/>
      <c r="G72" s="7"/>
      <c r="H72" s="9"/>
    </row>
    <row r="73" spans="5:8" ht="12" customHeight="1">
      <c r="E73" s="7"/>
      <c r="F73" s="9"/>
      <c r="G73" s="7"/>
      <c r="H73" s="9"/>
    </row>
    <row r="74" spans="5:8" ht="12" customHeight="1">
      <c r="E74" s="7"/>
      <c r="F74" s="9"/>
      <c r="G74" s="7"/>
      <c r="H74" s="9"/>
    </row>
    <row r="75" spans="5:8" ht="12" customHeight="1">
      <c r="E75" s="7"/>
      <c r="F75" s="9"/>
      <c r="G75" s="7"/>
      <c r="H75" s="9"/>
    </row>
    <row r="76" spans="5:8" ht="12" customHeight="1">
      <c r="E76" s="7"/>
      <c r="F76" s="9"/>
      <c r="G76" s="7"/>
      <c r="H76" s="9"/>
    </row>
    <row r="77" spans="5:8" ht="12" customHeight="1">
      <c r="E77" s="7"/>
      <c r="F77" s="9"/>
      <c r="G77" s="7"/>
      <c r="H77" s="9"/>
    </row>
    <row r="78" spans="5:8" ht="12" customHeight="1">
      <c r="E78" s="7"/>
      <c r="F78" s="9"/>
      <c r="G78" s="7"/>
      <c r="H78" s="9"/>
    </row>
    <row r="79" spans="5:8" ht="12" customHeight="1">
      <c r="E79" s="7"/>
      <c r="F79" s="9"/>
      <c r="G79" s="7"/>
      <c r="H79" s="9"/>
    </row>
    <row r="80" spans="5:8" ht="12" customHeight="1">
      <c r="E80" s="7"/>
      <c r="F80" s="9"/>
      <c r="G80" s="7"/>
      <c r="H80" s="9"/>
    </row>
    <row r="81" spans="5:8" ht="12" customHeight="1">
      <c r="E81" s="7"/>
      <c r="F81" s="9"/>
      <c r="G81" s="7"/>
      <c r="H81" s="9"/>
    </row>
    <row r="82" spans="5:8" ht="12" customHeight="1">
      <c r="E82" s="7"/>
      <c r="F82" s="9"/>
      <c r="G82" s="7"/>
      <c r="H82" s="9"/>
    </row>
    <row r="83" spans="5:8" ht="12" customHeight="1">
      <c r="E83" s="7"/>
      <c r="F83" s="9"/>
      <c r="G83" s="7"/>
      <c r="H83" s="9"/>
    </row>
    <row r="84" spans="5:8" ht="12" customHeight="1">
      <c r="E84" s="7"/>
      <c r="F84" s="9"/>
      <c r="G84" s="7"/>
      <c r="H84" s="9"/>
    </row>
    <row r="85" spans="5:8" ht="12" customHeight="1">
      <c r="E85" s="7"/>
      <c r="F85" s="9"/>
      <c r="G85" s="7"/>
      <c r="H85" s="9"/>
    </row>
    <row r="86" spans="5:8" ht="12" customHeight="1">
      <c r="E86" s="7"/>
      <c r="F86" s="9"/>
      <c r="G86" s="7"/>
      <c r="H86" s="9"/>
    </row>
    <row r="87" spans="5:8" ht="12" customHeight="1">
      <c r="E87" s="7"/>
      <c r="F87" s="9"/>
      <c r="G87" s="7"/>
      <c r="H87" s="9"/>
    </row>
    <row r="88" spans="5:8" ht="12" customHeight="1">
      <c r="E88" s="7"/>
      <c r="F88" s="9"/>
      <c r="G88" s="7"/>
      <c r="H88" s="9"/>
    </row>
    <row r="89" spans="5:8" ht="12" customHeight="1">
      <c r="E89" s="7"/>
      <c r="F89" s="9"/>
      <c r="G89" s="7"/>
      <c r="H89" s="9"/>
    </row>
    <row r="90" spans="5:8" ht="12" customHeight="1">
      <c r="E90" s="7"/>
      <c r="F90" s="9"/>
      <c r="G90" s="7"/>
      <c r="H90" s="9"/>
    </row>
    <row r="91" spans="5:8" ht="12" customHeight="1">
      <c r="E91" s="7"/>
      <c r="F91" s="9"/>
      <c r="G91" s="7"/>
      <c r="H91" s="9"/>
    </row>
    <row r="92" spans="5:8" ht="12" customHeight="1">
      <c r="E92" s="7"/>
      <c r="F92" s="9"/>
      <c r="G92" s="7"/>
      <c r="H92" s="9"/>
    </row>
    <row r="93" spans="5:8" ht="12" customHeight="1">
      <c r="E93" s="7"/>
      <c r="F93" s="9"/>
      <c r="G93" s="7"/>
      <c r="H93" s="9"/>
    </row>
    <row r="94" spans="5:8" ht="12" customHeight="1">
      <c r="E94" s="7"/>
      <c r="F94" s="9"/>
      <c r="G94" s="7"/>
      <c r="H94" s="9"/>
    </row>
    <row r="95" spans="5:8" ht="12" customHeight="1">
      <c r="E95" s="7"/>
      <c r="F95" s="9"/>
      <c r="G95" s="7"/>
      <c r="H95" s="9"/>
    </row>
    <row r="96" spans="5:8" ht="12" customHeight="1">
      <c r="E96" s="7"/>
      <c r="F96" s="9"/>
      <c r="G96" s="7"/>
      <c r="H96" s="9"/>
    </row>
    <row r="97" spans="5:8" ht="12" customHeight="1">
      <c r="E97" s="7"/>
      <c r="F97" s="9"/>
      <c r="G97" s="7"/>
      <c r="H97" s="9"/>
    </row>
    <row r="98" spans="5:8" ht="12" customHeight="1">
      <c r="E98" s="7"/>
      <c r="F98" s="9"/>
      <c r="G98" s="7"/>
      <c r="H98" s="9"/>
    </row>
    <row r="99" spans="5:8" ht="12" customHeight="1">
      <c r="E99" s="7"/>
      <c r="F99" s="9"/>
      <c r="G99" s="7"/>
      <c r="H99" s="9"/>
    </row>
    <row r="100" spans="5:8" ht="12" customHeight="1">
      <c r="E100" s="7"/>
      <c r="F100" s="9"/>
      <c r="G100" s="7"/>
      <c r="H100" s="9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400-000000000000}">
          <x14:formula1>
            <xm:f>'Validation Lists'!$G$2:$G$6</xm:f>
          </x14:formula1>
          <xm:sqref>D2:D100</xm:sqref>
        </x14:dataValidation>
        <x14:dataValidation type="list" xr:uid="{00000000-0002-0000-0400-000001000000}">
          <x14:formula1>
            <xm:f>'Validation Lists'!$H$2:$H$5</xm:f>
          </x14:formula1>
          <xm:sqref>N2:N100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"/>
  <sheetViews>
    <sheetView workbookViewId="0"/>
  </sheetViews>
  <sheetFormatPr defaultRowHeight="13.8"/>
  <cols>
    <col min="1" max="2" width="12" customWidth="1"/>
    <col min="3" max="3" width="18" customWidth="1"/>
    <col min="4" max="4" width="24" customWidth="1"/>
    <col min="5" max="5" width="10" customWidth="1"/>
    <col min="6" max="7" width="12" customWidth="1"/>
    <col min="8" max="8" width="16" customWidth="1"/>
    <col min="9" max="9" width="14" customWidth="1"/>
    <col min="10" max="10" width="26" customWidth="1"/>
    <col min="11" max="11" width="20" customWidth="1"/>
    <col min="12" max="12" width="32" customWidth="1"/>
  </cols>
  <sheetData>
    <row r="1" spans="1:12" ht="21.15" customHeight="1">
      <c r="A1" s="3" t="s">
        <v>246</v>
      </c>
      <c r="B1" s="3" t="s">
        <v>49</v>
      </c>
      <c r="C1" s="3" t="s">
        <v>50</v>
      </c>
      <c r="D1" s="3" t="s">
        <v>12</v>
      </c>
      <c r="E1" s="3" t="s">
        <v>56</v>
      </c>
      <c r="F1" s="3" t="s">
        <v>247</v>
      </c>
      <c r="G1" s="3" t="s">
        <v>248</v>
      </c>
      <c r="H1" s="3" t="s">
        <v>249</v>
      </c>
      <c r="I1" s="3" t="s">
        <v>250</v>
      </c>
      <c r="J1" s="3" t="s">
        <v>251</v>
      </c>
      <c r="K1" s="3" t="s">
        <v>27</v>
      </c>
      <c r="L1" s="3" t="s">
        <v>63</v>
      </c>
    </row>
    <row r="2" spans="1:12" ht="12" customHeight="1">
      <c r="A2" t="s">
        <v>252</v>
      </c>
      <c r="B2" t="s">
        <v>253</v>
      </c>
      <c r="C2" t="s">
        <v>254</v>
      </c>
      <c r="D2" t="s">
        <v>18</v>
      </c>
      <c r="E2" t="s">
        <v>14</v>
      </c>
      <c r="F2" s="7">
        <v>46188</v>
      </c>
      <c r="G2" s="9">
        <v>46188.645833333336</v>
      </c>
      <c r="H2" t="s">
        <v>255</v>
      </c>
      <c r="I2" t="s">
        <v>256</v>
      </c>
      <c r="J2" t="s">
        <v>257</v>
      </c>
      <c r="K2" t="s">
        <v>217</v>
      </c>
      <c r="L2" t="s">
        <v>258</v>
      </c>
    </row>
    <row r="3" spans="1:12" ht="12" customHeight="1">
      <c r="A3" t="s">
        <v>259</v>
      </c>
      <c r="B3" t="s">
        <v>260</v>
      </c>
      <c r="C3" t="s">
        <v>261</v>
      </c>
      <c r="D3" t="s">
        <v>16</v>
      </c>
      <c r="E3" t="s">
        <v>69</v>
      </c>
      <c r="F3" s="7">
        <v>46189</v>
      </c>
      <c r="G3" s="9">
        <v>46189.5</v>
      </c>
      <c r="H3" t="s">
        <v>102</v>
      </c>
      <c r="I3" t="s">
        <v>262</v>
      </c>
      <c r="J3" t="s">
        <v>263</v>
      </c>
      <c r="K3" t="s">
        <v>41</v>
      </c>
      <c r="L3" t="s">
        <v>264</v>
      </c>
    </row>
    <row r="4" spans="1:12" ht="12" customHeight="1">
      <c r="A4" t="s">
        <v>265</v>
      </c>
      <c r="B4" t="s">
        <v>266</v>
      </c>
      <c r="C4" t="s">
        <v>267</v>
      </c>
      <c r="D4" t="s">
        <v>19</v>
      </c>
      <c r="E4" t="s">
        <v>14</v>
      </c>
      <c r="F4" s="7">
        <v>46189</v>
      </c>
      <c r="G4" s="9">
        <v>46189.364583333336</v>
      </c>
      <c r="H4" t="s">
        <v>255</v>
      </c>
      <c r="I4" t="s">
        <v>268</v>
      </c>
      <c r="J4" t="s">
        <v>269</v>
      </c>
      <c r="K4" t="s">
        <v>218</v>
      </c>
      <c r="L4" t="s">
        <v>270</v>
      </c>
    </row>
    <row r="5" spans="1:12" ht="12" customHeight="1">
      <c r="A5" t="s">
        <v>271</v>
      </c>
      <c r="B5" t="s">
        <v>272</v>
      </c>
      <c r="C5" t="s">
        <v>273</v>
      </c>
      <c r="D5" t="s">
        <v>17</v>
      </c>
      <c r="E5" t="s">
        <v>69</v>
      </c>
      <c r="F5" s="7">
        <v>46190</v>
      </c>
      <c r="G5" s="9">
        <v>46190.427083333336</v>
      </c>
      <c r="H5" t="s">
        <v>102</v>
      </c>
      <c r="I5" t="s">
        <v>262</v>
      </c>
      <c r="J5" t="s">
        <v>274</v>
      </c>
      <c r="K5" t="s">
        <v>216</v>
      </c>
      <c r="L5" t="s">
        <v>275</v>
      </c>
    </row>
    <row r="6" spans="1:12" ht="12" customHeight="1">
      <c r="F6" s="7"/>
      <c r="G6" s="9"/>
    </row>
    <row r="7" spans="1:12" ht="12" customHeight="1">
      <c r="F7" s="7"/>
      <c r="G7" s="9"/>
    </row>
    <row r="8" spans="1:12" ht="12" customHeight="1">
      <c r="F8" s="7"/>
      <c r="G8" s="9"/>
    </row>
    <row r="9" spans="1:12" ht="12" customHeight="1">
      <c r="F9" s="7"/>
      <c r="G9" s="9"/>
    </row>
    <row r="10" spans="1:12" ht="12" customHeight="1">
      <c r="F10" s="7"/>
      <c r="G10" s="9"/>
    </row>
    <row r="11" spans="1:12" ht="12" customHeight="1">
      <c r="F11" s="7"/>
      <c r="G11" s="9"/>
    </row>
    <row r="12" spans="1:12" ht="12" customHeight="1">
      <c r="F12" s="7"/>
      <c r="G12" s="9"/>
    </row>
    <row r="13" spans="1:12" ht="12" customHeight="1">
      <c r="F13" s="7"/>
      <c r="G13" s="9"/>
    </row>
    <row r="14" spans="1:12" ht="12" customHeight="1">
      <c r="F14" s="7"/>
      <c r="G14" s="9"/>
    </row>
    <row r="15" spans="1:12" ht="12" customHeight="1">
      <c r="F15" s="7"/>
      <c r="G15" s="9"/>
    </row>
    <row r="16" spans="1:12" ht="12" customHeight="1">
      <c r="F16" s="7"/>
      <c r="G16" s="9"/>
    </row>
    <row r="17" spans="6:7" ht="12" customHeight="1">
      <c r="F17" s="7"/>
      <c r="G17" s="9"/>
    </row>
    <row r="18" spans="6:7" ht="12" customHeight="1">
      <c r="F18" s="7"/>
      <c r="G18" s="9"/>
    </row>
    <row r="19" spans="6:7" ht="12" customHeight="1">
      <c r="F19" s="7"/>
      <c r="G19" s="9"/>
    </row>
    <row r="20" spans="6:7" ht="12" customHeight="1">
      <c r="F20" s="7"/>
      <c r="G20" s="9"/>
    </row>
    <row r="21" spans="6:7" ht="12" customHeight="1">
      <c r="F21" s="7"/>
      <c r="G21" s="9"/>
    </row>
    <row r="22" spans="6:7" ht="12" customHeight="1">
      <c r="F22" s="7"/>
      <c r="G22" s="9"/>
    </row>
    <row r="23" spans="6:7" ht="12" customHeight="1">
      <c r="F23" s="7"/>
      <c r="G23" s="9"/>
    </row>
    <row r="24" spans="6:7" ht="12" customHeight="1">
      <c r="F24" s="7"/>
      <c r="G24" s="9"/>
    </row>
    <row r="25" spans="6:7" ht="12" customHeight="1">
      <c r="F25" s="7"/>
      <c r="G25" s="9"/>
    </row>
    <row r="26" spans="6:7" ht="12" customHeight="1">
      <c r="F26" s="7"/>
      <c r="G26" s="9"/>
    </row>
    <row r="27" spans="6:7" ht="12" customHeight="1">
      <c r="F27" s="7"/>
      <c r="G27" s="9"/>
    </row>
    <row r="28" spans="6:7" ht="12" customHeight="1">
      <c r="F28" s="7"/>
      <c r="G28" s="9"/>
    </row>
    <row r="29" spans="6:7" ht="12" customHeight="1">
      <c r="F29" s="7"/>
      <c r="G29" s="9"/>
    </row>
    <row r="30" spans="6:7" ht="12" customHeight="1">
      <c r="F30" s="7"/>
      <c r="G30" s="9"/>
    </row>
    <row r="31" spans="6:7" ht="12" customHeight="1">
      <c r="F31" s="7"/>
      <c r="G31" s="9"/>
    </row>
    <row r="32" spans="6:7" ht="12" customHeight="1">
      <c r="F32" s="7"/>
      <c r="G32" s="9"/>
    </row>
    <row r="33" spans="6:7" ht="12" customHeight="1">
      <c r="F33" s="7"/>
      <c r="G33" s="9"/>
    </row>
    <row r="34" spans="6:7" ht="12" customHeight="1">
      <c r="F34" s="7"/>
      <c r="G34" s="9"/>
    </row>
    <row r="35" spans="6:7" ht="12" customHeight="1">
      <c r="F35" s="7"/>
      <c r="G35" s="9"/>
    </row>
    <row r="36" spans="6:7" ht="12" customHeight="1">
      <c r="F36" s="7"/>
      <c r="G36" s="9"/>
    </row>
    <row r="37" spans="6:7" ht="12" customHeight="1">
      <c r="F37" s="7"/>
      <c r="G37" s="9"/>
    </row>
    <row r="38" spans="6:7" ht="12" customHeight="1">
      <c r="F38" s="7"/>
      <c r="G38" s="9"/>
    </row>
    <row r="39" spans="6:7" ht="12" customHeight="1">
      <c r="F39" s="7"/>
      <c r="G39" s="9"/>
    </row>
    <row r="40" spans="6:7" ht="12" customHeight="1">
      <c r="F40" s="7"/>
      <c r="G40" s="9"/>
    </row>
    <row r="41" spans="6:7" ht="12" customHeight="1">
      <c r="F41" s="7"/>
      <c r="G41" s="9"/>
    </row>
    <row r="42" spans="6:7" ht="12" customHeight="1">
      <c r="F42" s="7"/>
      <c r="G42" s="9"/>
    </row>
    <row r="43" spans="6:7" ht="12" customHeight="1">
      <c r="F43" s="7"/>
      <c r="G43" s="9"/>
    </row>
    <row r="44" spans="6:7" ht="12" customHeight="1">
      <c r="F44" s="7"/>
      <c r="G44" s="9"/>
    </row>
    <row r="45" spans="6:7" ht="12" customHeight="1">
      <c r="F45" s="7"/>
      <c r="G45" s="9"/>
    </row>
    <row r="46" spans="6:7" ht="12" customHeight="1">
      <c r="F46" s="7"/>
      <c r="G46" s="9"/>
    </row>
    <row r="47" spans="6:7" ht="12" customHeight="1">
      <c r="F47" s="7"/>
      <c r="G47" s="9"/>
    </row>
    <row r="48" spans="6:7" ht="12" customHeight="1">
      <c r="F48" s="7"/>
      <c r="G48" s="9"/>
    </row>
    <row r="49" spans="6:7" ht="12" customHeight="1">
      <c r="F49" s="7"/>
      <c r="G49" s="9"/>
    </row>
    <row r="50" spans="6:7" ht="12" customHeight="1">
      <c r="F50" s="7"/>
      <c r="G50" s="9"/>
    </row>
    <row r="51" spans="6:7" ht="12" customHeight="1">
      <c r="F51" s="7"/>
      <c r="G51" s="9"/>
    </row>
    <row r="52" spans="6:7" ht="12" customHeight="1">
      <c r="F52" s="7"/>
      <c r="G52" s="9"/>
    </row>
    <row r="53" spans="6:7" ht="12" customHeight="1">
      <c r="F53" s="7"/>
      <c r="G53" s="9"/>
    </row>
    <row r="54" spans="6:7" ht="12" customHeight="1">
      <c r="F54" s="7"/>
      <c r="G54" s="9"/>
    </row>
    <row r="55" spans="6:7" ht="12" customHeight="1">
      <c r="F55" s="7"/>
      <c r="G55" s="9"/>
    </row>
    <row r="56" spans="6:7" ht="12" customHeight="1">
      <c r="F56" s="7"/>
      <c r="G56" s="9"/>
    </row>
    <row r="57" spans="6:7" ht="12" customHeight="1">
      <c r="F57" s="7"/>
      <c r="G57" s="9"/>
    </row>
    <row r="58" spans="6:7" ht="12" customHeight="1">
      <c r="F58" s="7"/>
      <c r="G58" s="9"/>
    </row>
    <row r="59" spans="6:7" ht="12" customHeight="1">
      <c r="F59" s="7"/>
      <c r="G59" s="9"/>
    </row>
    <row r="60" spans="6:7" ht="12" customHeight="1">
      <c r="F60" s="7"/>
      <c r="G60" s="9"/>
    </row>
    <row r="61" spans="6:7" ht="12" customHeight="1">
      <c r="F61" s="7"/>
      <c r="G61" s="9"/>
    </row>
    <row r="62" spans="6:7" ht="12" customHeight="1">
      <c r="F62" s="7"/>
      <c r="G62" s="9"/>
    </row>
    <row r="63" spans="6:7" ht="12" customHeight="1">
      <c r="F63" s="7"/>
      <c r="G63" s="9"/>
    </row>
    <row r="64" spans="6:7" ht="12" customHeight="1">
      <c r="F64" s="7"/>
      <c r="G64" s="9"/>
    </row>
    <row r="65" spans="6:7" ht="12" customHeight="1">
      <c r="F65" s="7"/>
      <c r="G65" s="9"/>
    </row>
    <row r="66" spans="6:7" ht="12" customHeight="1">
      <c r="F66" s="7"/>
      <c r="G66" s="9"/>
    </row>
    <row r="67" spans="6:7" ht="12" customHeight="1">
      <c r="F67" s="7"/>
      <c r="G67" s="9"/>
    </row>
    <row r="68" spans="6:7" ht="12" customHeight="1">
      <c r="F68" s="7"/>
      <c r="G68" s="9"/>
    </row>
    <row r="69" spans="6:7" ht="12" customHeight="1">
      <c r="F69" s="7"/>
      <c r="G69" s="9"/>
    </row>
    <row r="70" spans="6:7" ht="12" customHeight="1">
      <c r="F70" s="7"/>
      <c r="G70" s="9"/>
    </row>
    <row r="71" spans="6:7" ht="12" customHeight="1">
      <c r="F71" s="7"/>
      <c r="G71" s="9"/>
    </row>
    <row r="72" spans="6:7" ht="12" customHeight="1">
      <c r="F72" s="7"/>
      <c r="G72" s="9"/>
    </row>
    <row r="73" spans="6:7" ht="12" customHeight="1">
      <c r="F73" s="7"/>
      <c r="G73" s="9"/>
    </row>
    <row r="74" spans="6:7" ht="12" customHeight="1">
      <c r="F74" s="7"/>
      <c r="G74" s="9"/>
    </row>
    <row r="75" spans="6:7" ht="12" customHeight="1">
      <c r="F75" s="7"/>
      <c r="G75" s="9"/>
    </row>
    <row r="76" spans="6:7" ht="12" customHeight="1">
      <c r="F76" s="7"/>
      <c r="G76" s="9"/>
    </row>
    <row r="77" spans="6:7" ht="12" customHeight="1">
      <c r="F77" s="7"/>
      <c r="G77" s="9"/>
    </row>
    <row r="78" spans="6:7" ht="12" customHeight="1">
      <c r="F78" s="7"/>
      <c r="G78" s="9"/>
    </row>
    <row r="79" spans="6:7" ht="12" customHeight="1">
      <c r="F79" s="7"/>
      <c r="G79" s="9"/>
    </row>
    <row r="80" spans="6:7" ht="12" customHeight="1">
      <c r="F80" s="7"/>
      <c r="G80" s="9"/>
    </row>
    <row r="81" spans="6:7" ht="12" customHeight="1">
      <c r="F81" s="7"/>
      <c r="G81" s="9"/>
    </row>
    <row r="82" spans="6:7" ht="12" customHeight="1">
      <c r="F82" s="7"/>
      <c r="G82" s="9"/>
    </row>
    <row r="83" spans="6:7" ht="12" customHeight="1">
      <c r="F83" s="7"/>
      <c r="G83" s="9"/>
    </row>
    <row r="84" spans="6:7" ht="12" customHeight="1">
      <c r="F84" s="7"/>
      <c r="G84" s="9"/>
    </row>
    <row r="85" spans="6:7" ht="12" customHeight="1">
      <c r="F85" s="7"/>
      <c r="G85" s="9"/>
    </row>
    <row r="86" spans="6:7" ht="12" customHeight="1">
      <c r="F86" s="7"/>
      <c r="G86" s="9"/>
    </row>
    <row r="87" spans="6:7" ht="12" customHeight="1">
      <c r="F87" s="7"/>
      <c r="G87" s="9"/>
    </row>
    <row r="88" spans="6:7" ht="12" customHeight="1">
      <c r="F88" s="7"/>
      <c r="G88" s="9"/>
    </row>
    <row r="89" spans="6:7" ht="12" customHeight="1">
      <c r="F89" s="7"/>
      <c r="G89" s="9"/>
    </row>
    <row r="90" spans="6:7" ht="12" customHeight="1">
      <c r="F90" s="7"/>
      <c r="G90" s="9"/>
    </row>
    <row r="91" spans="6:7" ht="12" customHeight="1">
      <c r="F91" s="7"/>
      <c r="G91" s="9"/>
    </row>
    <row r="92" spans="6:7" ht="12" customHeight="1">
      <c r="F92" s="7"/>
      <c r="G92" s="9"/>
    </row>
    <row r="93" spans="6:7" ht="12" customHeight="1">
      <c r="F93" s="7"/>
      <c r="G93" s="9"/>
    </row>
    <row r="94" spans="6:7" ht="12" customHeight="1">
      <c r="F94" s="7"/>
      <c r="G94" s="9"/>
    </row>
    <row r="95" spans="6:7" ht="12" customHeight="1">
      <c r="F95" s="7"/>
      <c r="G95" s="9"/>
    </row>
    <row r="96" spans="6:7" ht="12" customHeight="1">
      <c r="F96" s="7"/>
      <c r="G96" s="9"/>
    </row>
    <row r="97" spans="6:7" ht="12" customHeight="1">
      <c r="F97" s="7"/>
      <c r="G97" s="9"/>
    </row>
    <row r="98" spans="6:7" ht="12" customHeight="1">
      <c r="F98" s="7"/>
      <c r="G98" s="9"/>
    </row>
    <row r="99" spans="6:7" ht="12" customHeight="1">
      <c r="F99" s="7"/>
      <c r="G99" s="9"/>
    </row>
    <row r="100" spans="6:7" ht="12" customHeight="1">
      <c r="F100" s="7"/>
      <c r="G100" s="9"/>
    </row>
  </sheetData>
  <conditionalFormatting sqref="E2:E100">
    <cfRule type="expression" dxfId="0" priority="1">
      <formula>E2="Urgent"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0000000}">
          <x14:formula1>
            <xm:f>'Validation Lists'!$A$2:$A$7</xm:f>
          </x14:formula1>
          <xm:sqref>D2:D100</xm:sqref>
        </x14:dataValidation>
        <x14:dataValidation type="list" xr:uid="{00000000-0002-0000-0500-000001000000}">
          <x14:formula1>
            <xm:f>'Validation Lists'!$C$2:$C$3</xm:f>
          </x14:formula1>
          <xm:sqref>E2:E100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"/>
  <sheetViews>
    <sheetView workbookViewId="0"/>
  </sheetViews>
  <sheetFormatPr defaultRowHeight="13.8"/>
  <cols>
    <col min="1" max="1" width="12" customWidth="1"/>
    <col min="2" max="2" width="14" customWidth="1"/>
    <col min="3" max="3" width="20" customWidth="1"/>
    <col min="4" max="4" width="14" customWidth="1"/>
    <col min="5" max="5" width="26" customWidth="1"/>
    <col min="6" max="7" width="12" customWidth="1"/>
    <col min="8" max="8" width="20" customWidth="1"/>
    <col min="9" max="9" width="16" customWidth="1"/>
    <col min="10" max="10" width="18" customWidth="1"/>
    <col min="11" max="11" width="32" customWidth="1"/>
  </cols>
  <sheetData>
    <row r="1" spans="1:11" ht="12" customHeight="1">
      <c r="A1" s="3" t="s">
        <v>276</v>
      </c>
      <c r="B1" s="3" t="s">
        <v>48</v>
      </c>
      <c r="C1" s="3" t="s">
        <v>277</v>
      </c>
      <c r="D1" s="3" t="s">
        <v>278</v>
      </c>
      <c r="E1" s="3" t="s">
        <v>279</v>
      </c>
      <c r="F1" s="3" t="s">
        <v>280</v>
      </c>
      <c r="G1" s="3" t="s">
        <v>281</v>
      </c>
      <c r="H1" s="3" t="s">
        <v>282</v>
      </c>
      <c r="I1" s="3" t="s">
        <v>283</v>
      </c>
      <c r="J1" s="3" t="s">
        <v>284</v>
      </c>
      <c r="K1" s="3" t="s">
        <v>63</v>
      </c>
    </row>
    <row r="2" spans="1:11" ht="12" customHeight="1">
      <c r="A2" t="s">
        <v>285</v>
      </c>
      <c r="B2" t="s">
        <v>64</v>
      </c>
      <c r="C2" t="s">
        <v>66</v>
      </c>
      <c r="D2" t="s">
        <v>286</v>
      </c>
      <c r="E2" t="s">
        <v>287</v>
      </c>
      <c r="F2" s="7">
        <v>46187</v>
      </c>
      <c r="G2" s="9">
        <v>46187.375</v>
      </c>
      <c r="H2" t="s">
        <v>41</v>
      </c>
      <c r="I2" t="s">
        <v>288</v>
      </c>
      <c r="J2" t="s">
        <v>289</v>
      </c>
      <c r="K2" t="s">
        <v>290</v>
      </c>
    </row>
    <row r="3" spans="1:11" ht="12" customHeight="1">
      <c r="A3" t="s">
        <v>291</v>
      </c>
      <c r="B3" t="s">
        <v>111</v>
      </c>
      <c r="C3" t="s">
        <v>113</v>
      </c>
      <c r="D3" t="s">
        <v>292</v>
      </c>
      <c r="E3" t="s">
        <v>293</v>
      </c>
      <c r="F3" s="7">
        <v>46188</v>
      </c>
      <c r="G3" s="9">
        <v>46188.447916666664</v>
      </c>
      <c r="H3" t="s">
        <v>46</v>
      </c>
      <c r="I3" t="s">
        <v>4</v>
      </c>
      <c r="J3" t="s">
        <v>289</v>
      </c>
      <c r="K3" t="s">
        <v>294</v>
      </c>
    </row>
    <row r="4" spans="1:11" ht="12" customHeight="1">
      <c r="A4" t="s">
        <v>295</v>
      </c>
      <c r="B4" t="s">
        <v>144</v>
      </c>
      <c r="C4" t="s">
        <v>296</v>
      </c>
      <c r="D4" t="s">
        <v>297</v>
      </c>
      <c r="E4" t="s">
        <v>298</v>
      </c>
      <c r="F4" s="7">
        <v>46189</v>
      </c>
      <c r="G4" s="9">
        <v>46189.354166666664</v>
      </c>
      <c r="H4" t="s">
        <v>32</v>
      </c>
      <c r="I4" t="s">
        <v>288</v>
      </c>
      <c r="J4" t="s">
        <v>233</v>
      </c>
      <c r="K4" t="s">
        <v>299</v>
      </c>
    </row>
    <row r="5" spans="1:11" ht="12" customHeight="1">
      <c r="A5" t="s">
        <v>300</v>
      </c>
      <c r="B5" t="s">
        <v>161</v>
      </c>
      <c r="C5" t="s">
        <v>163</v>
      </c>
      <c r="D5" t="s">
        <v>301</v>
      </c>
      <c r="E5" t="s">
        <v>302</v>
      </c>
      <c r="F5" s="7">
        <v>46189</v>
      </c>
      <c r="G5" s="9">
        <v>46189.381944444445</v>
      </c>
      <c r="H5" t="s">
        <v>37</v>
      </c>
      <c r="I5" t="s">
        <v>303</v>
      </c>
      <c r="J5" t="s">
        <v>233</v>
      </c>
      <c r="K5" t="s">
        <v>304</v>
      </c>
    </row>
    <row r="6" spans="1:11" ht="12" customHeight="1">
      <c r="A6" t="s">
        <v>305</v>
      </c>
      <c r="B6" t="s">
        <v>169</v>
      </c>
      <c r="C6" t="s">
        <v>306</v>
      </c>
      <c r="D6" t="s">
        <v>297</v>
      </c>
      <c r="E6" t="s">
        <v>173</v>
      </c>
      <c r="F6" s="7">
        <v>46189</v>
      </c>
      <c r="G6" s="9">
        <v>46189.392361111109</v>
      </c>
      <c r="H6" t="s">
        <v>41</v>
      </c>
      <c r="I6" t="s">
        <v>288</v>
      </c>
      <c r="J6" t="s">
        <v>233</v>
      </c>
      <c r="K6" t="s">
        <v>307</v>
      </c>
    </row>
    <row r="7" spans="1:11" ht="12" customHeight="1">
      <c r="F7" s="7"/>
      <c r="G7" s="9"/>
    </row>
    <row r="8" spans="1:11" ht="12" customHeight="1">
      <c r="F8" s="7"/>
      <c r="G8" s="9"/>
    </row>
    <row r="9" spans="1:11" ht="12" customHeight="1">
      <c r="F9" s="7"/>
      <c r="G9" s="9"/>
    </row>
    <row r="10" spans="1:11" ht="12" customHeight="1">
      <c r="F10" s="7"/>
      <c r="G10" s="9"/>
    </row>
    <row r="11" spans="1:11" ht="12" customHeight="1">
      <c r="F11" s="7"/>
      <c r="G11" s="9"/>
    </row>
    <row r="12" spans="1:11" ht="12" customHeight="1">
      <c r="F12" s="7"/>
      <c r="G12" s="9"/>
    </row>
    <row r="13" spans="1:11" ht="12" customHeight="1">
      <c r="F13" s="7"/>
      <c r="G13" s="9"/>
    </row>
    <row r="14" spans="1:11" ht="12" customHeight="1">
      <c r="F14" s="7"/>
      <c r="G14" s="9"/>
    </row>
    <row r="15" spans="1:11" ht="12" customHeight="1">
      <c r="F15" s="7"/>
      <c r="G15" s="9"/>
    </row>
    <row r="16" spans="1:11" ht="12" customHeight="1">
      <c r="F16" s="7"/>
      <c r="G16" s="9"/>
    </row>
    <row r="17" spans="6:7" ht="12" customHeight="1">
      <c r="F17" s="7"/>
      <c r="G17" s="9"/>
    </row>
    <row r="18" spans="6:7" ht="12" customHeight="1">
      <c r="F18" s="7"/>
      <c r="G18" s="9"/>
    </row>
    <row r="19" spans="6:7" ht="12" customHeight="1">
      <c r="F19" s="7"/>
      <c r="G19" s="9"/>
    </row>
    <row r="20" spans="6:7" ht="12" customHeight="1">
      <c r="F20" s="7"/>
      <c r="G20" s="9"/>
    </row>
    <row r="21" spans="6:7" ht="12" customHeight="1">
      <c r="F21" s="7"/>
      <c r="G21" s="9"/>
    </row>
    <row r="22" spans="6:7" ht="12" customHeight="1">
      <c r="F22" s="7"/>
      <c r="G22" s="9"/>
    </row>
    <row r="23" spans="6:7" ht="12" customHeight="1">
      <c r="F23" s="7"/>
      <c r="G23" s="9"/>
    </row>
    <row r="24" spans="6:7" ht="12" customHeight="1">
      <c r="F24" s="7"/>
      <c r="G24" s="9"/>
    </row>
    <row r="25" spans="6:7" ht="12" customHeight="1">
      <c r="F25" s="7"/>
      <c r="G25" s="9"/>
    </row>
    <row r="26" spans="6:7" ht="12" customHeight="1">
      <c r="F26" s="7"/>
      <c r="G26" s="9"/>
    </row>
    <row r="27" spans="6:7" ht="12" customHeight="1">
      <c r="F27" s="7"/>
      <c r="G27" s="9"/>
    </row>
    <row r="28" spans="6:7" ht="12" customHeight="1">
      <c r="F28" s="7"/>
      <c r="G28" s="9"/>
    </row>
    <row r="29" spans="6:7" ht="12" customHeight="1">
      <c r="F29" s="7"/>
      <c r="G29" s="9"/>
    </row>
    <row r="30" spans="6:7" ht="12" customHeight="1">
      <c r="F30" s="7"/>
      <c r="G30" s="9"/>
    </row>
    <row r="31" spans="6:7" ht="12" customHeight="1">
      <c r="F31" s="7"/>
      <c r="G31" s="9"/>
    </row>
    <row r="32" spans="6:7" ht="12" customHeight="1">
      <c r="F32" s="7"/>
      <c r="G32" s="9"/>
    </row>
    <row r="33" spans="6:7" ht="12" customHeight="1">
      <c r="F33" s="7"/>
      <c r="G33" s="9"/>
    </row>
    <row r="34" spans="6:7" ht="12" customHeight="1">
      <c r="F34" s="7"/>
      <c r="G34" s="9"/>
    </row>
    <row r="35" spans="6:7" ht="12" customHeight="1">
      <c r="F35" s="7"/>
      <c r="G35" s="9"/>
    </row>
    <row r="36" spans="6:7" ht="12" customHeight="1">
      <c r="F36" s="7"/>
      <c r="G36" s="9"/>
    </row>
    <row r="37" spans="6:7" ht="12" customHeight="1">
      <c r="F37" s="7"/>
      <c r="G37" s="9"/>
    </row>
    <row r="38" spans="6:7" ht="12" customHeight="1">
      <c r="F38" s="7"/>
      <c r="G38" s="9"/>
    </row>
    <row r="39" spans="6:7" ht="12" customHeight="1">
      <c r="F39" s="7"/>
      <c r="G39" s="9"/>
    </row>
    <row r="40" spans="6:7" ht="12" customHeight="1">
      <c r="F40" s="7"/>
      <c r="G40" s="9"/>
    </row>
    <row r="41" spans="6:7" ht="12" customHeight="1">
      <c r="F41" s="7"/>
      <c r="G41" s="9"/>
    </row>
    <row r="42" spans="6:7" ht="12" customHeight="1">
      <c r="F42" s="7"/>
      <c r="G42" s="9"/>
    </row>
    <row r="43" spans="6:7" ht="12" customHeight="1">
      <c r="F43" s="7"/>
      <c r="G43" s="9"/>
    </row>
    <row r="44" spans="6:7" ht="12" customHeight="1">
      <c r="F44" s="7"/>
      <c r="G44" s="9"/>
    </row>
    <row r="45" spans="6:7" ht="12" customHeight="1">
      <c r="F45" s="7"/>
      <c r="G45" s="9"/>
    </row>
    <row r="46" spans="6:7" ht="12" customHeight="1">
      <c r="F46" s="7"/>
      <c r="G46" s="9"/>
    </row>
    <row r="47" spans="6:7" ht="12" customHeight="1">
      <c r="F47" s="7"/>
      <c r="G47" s="9"/>
    </row>
    <row r="48" spans="6:7" ht="12" customHeight="1">
      <c r="F48" s="7"/>
      <c r="G48" s="9"/>
    </row>
    <row r="49" spans="6:7" ht="12" customHeight="1">
      <c r="F49" s="7"/>
      <c r="G49" s="9"/>
    </row>
    <row r="50" spans="6:7" ht="12" customHeight="1">
      <c r="F50" s="7"/>
      <c r="G50" s="9"/>
    </row>
    <row r="51" spans="6:7" ht="12" customHeight="1">
      <c r="F51" s="7"/>
      <c r="G51" s="9"/>
    </row>
    <row r="52" spans="6:7" ht="12" customHeight="1">
      <c r="F52" s="7"/>
      <c r="G52" s="9"/>
    </row>
    <row r="53" spans="6:7" ht="12" customHeight="1">
      <c r="F53" s="7"/>
      <c r="G53" s="9"/>
    </row>
    <row r="54" spans="6:7" ht="12" customHeight="1">
      <c r="F54" s="7"/>
      <c r="G54" s="9"/>
    </row>
    <row r="55" spans="6:7" ht="12" customHeight="1">
      <c r="F55" s="7"/>
      <c r="G55" s="9"/>
    </row>
    <row r="56" spans="6:7" ht="12" customHeight="1">
      <c r="F56" s="7"/>
      <c r="G56" s="9"/>
    </row>
    <row r="57" spans="6:7" ht="12" customHeight="1">
      <c r="F57" s="7"/>
      <c r="G57" s="9"/>
    </row>
    <row r="58" spans="6:7" ht="12" customHeight="1">
      <c r="F58" s="7"/>
      <c r="G58" s="9"/>
    </row>
    <row r="59" spans="6:7" ht="12" customHeight="1">
      <c r="F59" s="7"/>
      <c r="G59" s="9"/>
    </row>
    <row r="60" spans="6:7" ht="12" customHeight="1">
      <c r="F60" s="7"/>
      <c r="G60" s="9"/>
    </row>
    <row r="61" spans="6:7" ht="12" customHeight="1">
      <c r="F61" s="7"/>
      <c r="G61" s="9"/>
    </row>
    <row r="62" spans="6:7" ht="12" customHeight="1">
      <c r="F62" s="7"/>
      <c r="G62" s="9"/>
    </row>
    <row r="63" spans="6:7" ht="12" customHeight="1">
      <c r="F63" s="7"/>
      <c r="G63" s="9"/>
    </row>
    <row r="64" spans="6:7" ht="12" customHeight="1">
      <c r="F64" s="7"/>
      <c r="G64" s="9"/>
    </row>
    <row r="65" spans="6:7" ht="12" customHeight="1">
      <c r="F65" s="7"/>
      <c r="G65" s="9"/>
    </row>
    <row r="66" spans="6:7" ht="12" customHeight="1">
      <c r="F66" s="7"/>
      <c r="G66" s="9"/>
    </row>
    <row r="67" spans="6:7" ht="12" customHeight="1">
      <c r="F67" s="7"/>
      <c r="G67" s="9"/>
    </row>
    <row r="68" spans="6:7" ht="12" customHeight="1">
      <c r="F68" s="7"/>
      <c r="G68" s="9"/>
    </row>
    <row r="69" spans="6:7" ht="12" customHeight="1">
      <c r="F69" s="7"/>
      <c r="G69" s="9"/>
    </row>
    <row r="70" spans="6:7" ht="12" customHeight="1">
      <c r="F70" s="7"/>
      <c r="G70" s="9"/>
    </row>
    <row r="71" spans="6:7" ht="12" customHeight="1">
      <c r="F71" s="7"/>
      <c r="G71" s="9"/>
    </row>
    <row r="72" spans="6:7" ht="12" customHeight="1">
      <c r="F72" s="7"/>
      <c r="G72" s="9"/>
    </row>
    <row r="73" spans="6:7" ht="12" customHeight="1">
      <c r="F73" s="7"/>
      <c r="G73" s="9"/>
    </row>
    <row r="74" spans="6:7" ht="12" customHeight="1">
      <c r="F74" s="7"/>
      <c r="G74" s="9"/>
    </row>
    <row r="75" spans="6:7" ht="12" customHeight="1">
      <c r="F75" s="7"/>
      <c r="G75" s="9"/>
    </row>
    <row r="76" spans="6:7" ht="12" customHeight="1">
      <c r="F76" s="7"/>
      <c r="G76" s="9"/>
    </row>
    <row r="77" spans="6:7" ht="12" customHeight="1">
      <c r="F77" s="7"/>
      <c r="G77" s="9"/>
    </row>
    <row r="78" spans="6:7" ht="12" customHeight="1">
      <c r="F78" s="7"/>
      <c r="G78" s="9"/>
    </row>
    <row r="79" spans="6:7" ht="12" customHeight="1">
      <c r="F79" s="7"/>
      <c r="G79" s="9"/>
    </row>
    <row r="80" spans="6:7" ht="12" customHeight="1">
      <c r="F80" s="7"/>
      <c r="G80" s="9"/>
    </row>
    <row r="81" spans="6:7" ht="12" customHeight="1">
      <c r="F81" s="7"/>
      <c r="G81" s="9"/>
    </row>
    <row r="82" spans="6:7" ht="12" customHeight="1">
      <c r="F82" s="7"/>
      <c r="G82" s="9"/>
    </row>
    <row r="83" spans="6:7" ht="12" customHeight="1">
      <c r="F83" s="7"/>
      <c r="G83" s="9"/>
    </row>
    <row r="84" spans="6:7" ht="12" customHeight="1">
      <c r="F84" s="7"/>
      <c r="G84" s="9"/>
    </row>
    <row r="85" spans="6:7" ht="12" customHeight="1">
      <c r="F85" s="7"/>
      <c r="G85" s="9"/>
    </row>
    <row r="86" spans="6:7" ht="12" customHeight="1">
      <c r="F86" s="7"/>
      <c r="G86" s="9"/>
    </row>
    <row r="87" spans="6:7" ht="12" customHeight="1">
      <c r="F87" s="7"/>
      <c r="G87" s="9"/>
    </row>
    <row r="88" spans="6:7" ht="12" customHeight="1">
      <c r="F88" s="7"/>
      <c r="G88" s="9"/>
    </row>
    <row r="89" spans="6:7" ht="12" customHeight="1">
      <c r="F89" s="7"/>
      <c r="G89" s="9"/>
    </row>
    <row r="90" spans="6:7" ht="12" customHeight="1">
      <c r="F90" s="7"/>
      <c r="G90" s="9"/>
    </row>
    <row r="91" spans="6:7" ht="12" customHeight="1">
      <c r="F91" s="7"/>
      <c r="G91" s="9"/>
    </row>
    <row r="92" spans="6:7" ht="12" customHeight="1">
      <c r="F92" s="7"/>
      <c r="G92" s="9"/>
    </row>
    <row r="93" spans="6:7" ht="12" customHeight="1">
      <c r="F93" s="7"/>
      <c r="G93" s="9"/>
    </row>
    <row r="94" spans="6:7" ht="12" customHeight="1">
      <c r="F94" s="7"/>
      <c r="G94" s="9"/>
    </row>
    <row r="95" spans="6:7" ht="12" customHeight="1">
      <c r="F95" s="7"/>
      <c r="G95" s="9"/>
    </row>
    <row r="96" spans="6:7" ht="12" customHeight="1">
      <c r="F96" s="7"/>
      <c r="G96" s="9"/>
    </row>
    <row r="97" spans="6:7" ht="12" customHeight="1">
      <c r="F97" s="7"/>
      <c r="G97" s="9"/>
    </row>
    <row r="98" spans="6:7" ht="12" customHeight="1">
      <c r="F98" s="7"/>
      <c r="G98" s="9"/>
    </row>
    <row r="99" spans="6:7" ht="12" customHeight="1">
      <c r="F99" s="7"/>
      <c r="G99" s="9"/>
    </row>
    <row r="100" spans="6:7" ht="12" customHeight="1">
      <c r="F100" s="7"/>
      <c r="G100" s="9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'Validation Lists'!$I$2:$I$6</xm:f>
          </x14:formula1>
          <xm:sqref>D2:D100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"/>
  <sheetViews>
    <sheetView workbookViewId="0"/>
  </sheetViews>
  <sheetFormatPr defaultRowHeight="13.8"/>
  <cols>
    <col min="1" max="1" width="12" customWidth="1"/>
    <col min="2" max="2" width="20" customWidth="1"/>
    <col min="3" max="3" width="18" customWidth="1"/>
    <col min="4" max="4" width="20" customWidth="1"/>
    <col min="5" max="5" width="26" customWidth="1"/>
    <col min="6" max="6" width="40" customWidth="1"/>
    <col min="7" max="7" width="22" customWidth="1"/>
    <col min="8" max="8" width="20" customWidth="1"/>
    <col min="9" max="9" width="14" customWidth="1"/>
    <col min="10" max="10" width="32" customWidth="1"/>
  </cols>
  <sheetData>
    <row r="1" spans="1:10" ht="12" customHeight="1">
      <c r="A1" s="3" t="s">
        <v>308</v>
      </c>
      <c r="B1" s="3" t="s">
        <v>309</v>
      </c>
      <c r="C1" s="3" t="s">
        <v>310</v>
      </c>
      <c r="D1" s="3" t="s">
        <v>311</v>
      </c>
      <c r="E1" s="3" t="s">
        <v>312</v>
      </c>
      <c r="F1" s="3" t="s">
        <v>313</v>
      </c>
      <c r="G1" s="3" t="s">
        <v>314</v>
      </c>
      <c r="H1" s="3" t="s">
        <v>315</v>
      </c>
      <c r="I1" s="3" t="s">
        <v>29</v>
      </c>
      <c r="J1" s="3" t="s">
        <v>63</v>
      </c>
    </row>
    <row r="2" spans="1:10" ht="12" customHeight="1">
      <c r="A2" t="s">
        <v>316</v>
      </c>
      <c r="B2" t="s">
        <v>317</v>
      </c>
      <c r="C2" t="s">
        <v>144</v>
      </c>
      <c r="D2" t="s">
        <v>318</v>
      </c>
      <c r="E2" t="s">
        <v>319</v>
      </c>
      <c r="F2" t="s">
        <v>320</v>
      </c>
      <c r="G2" t="s">
        <v>217</v>
      </c>
      <c r="H2" t="s">
        <v>321</v>
      </c>
      <c r="I2" t="s">
        <v>34</v>
      </c>
      <c r="J2" t="s">
        <v>322</v>
      </c>
    </row>
    <row r="3" spans="1:10" ht="12" customHeight="1">
      <c r="A3" t="s">
        <v>323</v>
      </c>
      <c r="B3" t="s">
        <v>324</v>
      </c>
      <c r="C3" t="s">
        <v>111</v>
      </c>
      <c r="D3" t="s">
        <v>325</v>
      </c>
      <c r="E3" t="s">
        <v>326</v>
      </c>
      <c r="F3" t="s">
        <v>327</v>
      </c>
      <c r="G3" t="s">
        <v>32</v>
      </c>
      <c r="H3" t="s">
        <v>328</v>
      </c>
      <c r="I3" t="s">
        <v>234</v>
      </c>
      <c r="J3" t="s">
        <v>329</v>
      </c>
    </row>
    <row r="4" spans="1:10" ht="12" customHeight="1">
      <c r="A4" t="s">
        <v>330</v>
      </c>
      <c r="B4" t="s">
        <v>331</v>
      </c>
      <c r="C4" t="s">
        <v>161</v>
      </c>
      <c r="D4" t="s">
        <v>332</v>
      </c>
      <c r="E4" t="s">
        <v>333</v>
      </c>
      <c r="F4" t="s">
        <v>334</v>
      </c>
      <c r="G4" t="s">
        <v>37</v>
      </c>
      <c r="H4" t="s">
        <v>335</v>
      </c>
      <c r="I4" t="s">
        <v>43</v>
      </c>
      <c r="J4" t="s">
        <v>336</v>
      </c>
    </row>
    <row r="5" spans="1:10" ht="12" customHeight="1">
      <c r="A5" t="s">
        <v>337</v>
      </c>
      <c r="B5" t="s">
        <v>124</v>
      </c>
      <c r="C5" t="s">
        <v>120</v>
      </c>
      <c r="D5" t="s">
        <v>338</v>
      </c>
      <c r="E5" t="s">
        <v>339</v>
      </c>
      <c r="F5" t="s">
        <v>340</v>
      </c>
      <c r="G5" t="s">
        <v>41</v>
      </c>
      <c r="H5" t="s">
        <v>341</v>
      </c>
      <c r="I5" t="s">
        <v>234</v>
      </c>
      <c r="J5" t="s">
        <v>342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0000000}">
          <x14:formula1>
            <xm:f>'Validation Lists'!$H$2:$H$5</xm:f>
          </x14:formula1>
          <xm:sqref>I2:I100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workbookViewId="0"/>
  </sheetViews>
  <sheetFormatPr defaultRowHeight="13.8"/>
  <cols>
    <col min="1" max="1" width="4.8984375" bestFit="1" customWidth="1"/>
    <col min="2" max="2" width="35.796875" bestFit="1" customWidth="1"/>
    <col min="3" max="3" width="16.3984375" bestFit="1" customWidth="1"/>
    <col min="4" max="4" width="44.59765625" bestFit="1" customWidth="1"/>
    <col min="5" max="5" width="24.796875" bestFit="1" customWidth="1"/>
  </cols>
  <sheetData>
    <row r="1" spans="1:5" ht="12" customHeight="1">
      <c r="A1" s="3" t="s">
        <v>343</v>
      </c>
      <c r="B1" s="3" t="s">
        <v>344</v>
      </c>
      <c r="C1" s="3" t="s">
        <v>345</v>
      </c>
      <c r="D1" s="3" t="s">
        <v>346</v>
      </c>
      <c r="E1" s="3" t="s">
        <v>347</v>
      </c>
    </row>
    <row r="2" spans="1:5">
      <c r="A2" s="12">
        <v>1</v>
      </c>
      <c r="B2" s="12" t="s">
        <v>348</v>
      </c>
      <c r="C2" s="12" t="s">
        <v>41</v>
      </c>
      <c r="D2" s="12" t="s">
        <v>349</v>
      </c>
      <c r="E2" s="12" t="s">
        <v>350</v>
      </c>
    </row>
    <row r="3" spans="1:5">
      <c r="A3" s="12">
        <v>2</v>
      </c>
      <c r="B3" s="12" t="s">
        <v>351</v>
      </c>
      <c r="C3" s="12" t="s">
        <v>46</v>
      </c>
      <c r="D3" s="12" t="s">
        <v>352</v>
      </c>
      <c r="E3" s="12" t="s">
        <v>353</v>
      </c>
    </row>
    <row r="4" spans="1:5">
      <c r="A4" s="12">
        <v>3</v>
      </c>
      <c r="B4" s="12" t="s">
        <v>354</v>
      </c>
      <c r="C4" s="12" t="s">
        <v>32</v>
      </c>
      <c r="D4" s="12" t="s">
        <v>355</v>
      </c>
      <c r="E4" s="12" t="s">
        <v>356</v>
      </c>
    </row>
    <row r="5" spans="1:5">
      <c r="A5" s="12">
        <v>4</v>
      </c>
      <c r="B5" s="12" t="s">
        <v>357</v>
      </c>
      <c r="C5" s="12" t="s">
        <v>358</v>
      </c>
      <c r="D5" s="12" t="s">
        <v>359</v>
      </c>
      <c r="E5" s="12" t="s">
        <v>360</v>
      </c>
    </row>
    <row r="6" spans="1:5" ht="12" customHeight="1">
      <c r="A6" s="12">
        <v>5</v>
      </c>
      <c r="B6" s="12" t="s">
        <v>361</v>
      </c>
      <c r="C6" s="12" t="s">
        <v>41</v>
      </c>
      <c r="D6" s="12" t="s">
        <v>362</v>
      </c>
      <c r="E6" s="12" t="s">
        <v>363</v>
      </c>
    </row>
    <row r="7" spans="1:5">
      <c r="A7" s="12">
        <v>6</v>
      </c>
      <c r="B7" s="12" t="s">
        <v>269</v>
      </c>
      <c r="C7" s="12" t="s">
        <v>41</v>
      </c>
      <c r="D7" s="12" t="s">
        <v>364</v>
      </c>
      <c r="E7" s="12" t="s">
        <v>365</v>
      </c>
    </row>
    <row r="8" spans="1:5">
      <c r="A8" s="12">
        <v>7</v>
      </c>
      <c r="B8" s="12" t="s">
        <v>366</v>
      </c>
      <c r="C8" s="12" t="s">
        <v>367</v>
      </c>
      <c r="D8" s="12" t="s">
        <v>368</v>
      </c>
      <c r="E8" s="12" t="s">
        <v>369</v>
      </c>
    </row>
    <row r="9" spans="1:5">
      <c r="A9" s="12">
        <v>8</v>
      </c>
      <c r="B9" s="12" t="s">
        <v>370</v>
      </c>
      <c r="C9" s="12" t="s">
        <v>46</v>
      </c>
      <c r="D9" s="12" t="s">
        <v>371</v>
      </c>
      <c r="E9" s="12" t="s">
        <v>372</v>
      </c>
    </row>
    <row r="10" spans="1:5" ht="21.15" customHeight="1">
      <c r="A10" s="12">
        <v>9</v>
      </c>
      <c r="B10" s="12" t="s">
        <v>373</v>
      </c>
      <c r="C10" s="12" t="s">
        <v>41</v>
      </c>
      <c r="D10" s="12" t="s">
        <v>374</v>
      </c>
      <c r="E10" s="12" t="s">
        <v>375</v>
      </c>
    </row>
    <row r="11" spans="1:5" ht="21.15" customHeight="1">
      <c r="A11" s="12">
        <v>10</v>
      </c>
      <c r="B11" s="12" t="s">
        <v>376</v>
      </c>
      <c r="C11" s="12" t="s">
        <v>32</v>
      </c>
      <c r="D11" s="12" t="s">
        <v>377</v>
      </c>
      <c r="E11" s="12" t="s">
        <v>378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"/>
  <sheetViews>
    <sheetView workbookViewId="0"/>
  </sheetViews>
  <sheetFormatPr defaultRowHeight="13.8"/>
  <cols>
    <col min="1" max="1" width="18" bestFit="1" customWidth="1"/>
    <col min="2" max="2" width="15.09765625" bestFit="1" customWidth="1"/>
    <col min="3" max="3" width="7.296875" bestFit="1" customWidth="1"/>
    <col min="4" max="4" width="17.5" bestFit="1" customWidth="1"/>
    <col min="5" max="5" width="20.8984375" bestFit="1" customWidth="1"/>
    <col min="6" max="6" width="15.59765625" bestFit="1" customWidth="1"/>
    <col min="7" max="7" width="15.3984375" bestFit="1" customWidth="1"/>
    <col min="8" max="8" width="16.3984375" bestFit="1" customWidth="1"/>
    <col min="9" max="9" width="13.19921875" bestFit="1" customWidth="1"/>
  </cols>
  <sheetData>
    <row r="1" spans="1:9" ht="12" customHeight="1">
      <c r="A1" s="1" t="s">
        <v>12</v>
      </c>
      <c r="B1" s="1" t="s">
        <v>29</v>
      </c>
      <c r="C1" s="1" t="s">
        <v>56</v>
      </c>
      <c r="D1" s="1" t="s">
        <v>55</v>
      </c>
      <c r="E1" s="1" t="s">
        <v>61</v>
      </c>
      <c r="F1" s="1" t="s">
        <v>62</v>
      </c>
      <c r="G1" s="1" t="s">
        <v>222</v>
      </c>
      <c r="H1" s="1" t="s">
        <v>379</v>
      </c>
      <c r="I1" s="1" t="s">
        <v>278</v>
      </c>
    </row>
    <row r="2" spans="1:9" ht="12" customHeight="1">
      <c r="A2" s="2" t="s">
        <v>16</v>
      </c>
      <c r="B2" s="2" t="s">
        <v>3</v>
      </c>
      <c r="C2" s="2" t="s">
        <v>69</v>
      </c>
      <c r="D2" s="2" t="s">
        <v>68</v>
      </c>
      <c r="E2" s="2" t="s">
        <v>94</v>
      </c>
      <c r="F2" s="2" t="s">
        <v>72</v>
      </c>
      <c r="G2" s="2" t="s">
        <v>230</v>
      </c>
      <c r="H2" s="2" t="s">
        <v>34</v>
      </c>
      <c r="I2" s="2" t="s">
        <v>292</v>
      </c>
    </row>
    <row r="3" spans="1:9" ht="12" customHeight="1">
      <c r="A3" s="2" t="s">
        <v>17</v>
      </c>
      <c r="B3" s="2" t="s">
        <v>4</v>
      </c>
      <c r="C3" s="2" t="s">
        <v>14</v>
      </c>
      <c r="D3" s="2" t="s">
        <v>114</v>
      </c>
      <c r="E3" s="2" t="s">
        <v>71</v>
      </c>
      <c r="F3" s="2" t="s">
        <v>102</v>
      </c>
      <c r="G3" s="2" t="s">
        <v>236</v>
      </c>
      <c r="H3" s="2" t="s">
        <v>234</v>
      </c>
      <c r="I3" s="2" t="s">
        <v>286</v>
      </c>
    </row>
    <row r="4" spans="1:9" ht="12" customHeight="1">
      <c r="A4" s="2" t="s">
        <v>18</v>
      </c>
      <c r="B4" s="2" t="s">
        <v>5</v>
      </c>
      <c r="D4" s="2" t="s">
        <v>92</v>
      </c>
      <c r="E4" s="2" t="s">
        <v>86</v>
      </c>
      <c r="F4" s="2" t="s">
        <v>380</v>
      </c>
      <c r="G4" s="2" t="s">
        <v>240</v>
      </c>
      <c r="H4" s="2" t="s">
        <v>381</v>
      </c>
      <c r="I4" s="2" t="s">
        <v>301</v>
      </c>
    </row>
    <row r="5" spans="1:9" ht="12" customHeight="1">
      <c r="A5" s="2" t="s">
        <v>19</v>
      </c>
      <c r="B5" s="2" t="s">
        <v>6</v>
      </c>
      <c r="D5" s="2" t="s">
        <v>78</v>
      </c>
      <c r="E5" s="2" t="s">
        <v>172</v>
      </c>
      <c r="F5" s="2" t="s">
        <v>95</v>
      </c>
      <c r="G5" s="2" t="s">
        <v>382</v>
      </c>
      <c r="H5" s="2" t="s">
        <v>43</v>
      </c>
      <c r="I5" s="2" t="s">
        <v>383</v>
      </c>
    </row>
    <row r="6" spans="1:9">
      <c r="A6" s="2" t="s">
        <v>21</v>
      </c>
      <c r="B6" s="2" t="s">
        <v>20</v>
      </c>
      <c r="D6" s="2" t="s">
        <v>101</v>
      </c>
      <c r="E6" s="2" t="s">
        <v>102</v>
      </c>
      <c r="G6" s="2" t="s">
        <v>384</v>
      </c>
      <c r="I6" s="2" t="s">
        <v>297</v>
      </c>
    </row>
    <row r="7" spans="1:9" ht="12" customHeight="1">
      <c r="A7" s="2" t="s">
        <v>23</v>
      </c>
      <c r="B7" s="2" t="s">
        <v>22</v>
      </c>
      <c r="D7" s="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Appointment Scheduler</vt:lpstr>
      <vt:lpstr>Staff Schedule</vt:lpstr>
      <vt:lpstr>Department Calendar</vt:lpstr>
      <vt:lpstr>Change Tracker</vt:lpstr>
      <vt:lpstr>Waitlist Urgent Slots</vt:lpstr>
      <vt:lpstr>Communication Log</vt:lpstr>
      <vt:lpstr>Conflict Register</vt:lpstr>
      <vt:lpstr>Process Flow</vt:lpstr>
      <vt:lpstr>Validation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Sherry Haghbin</cp:lastModifiedBy>
  <dcterms:modified xsi:type="dcterms:W3CDTF">2026-06-12T08:48:03Z</dcterms:modified>
</cp:coreProperties>
</file>