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11_0E31A647E90FDD407FFFA68B54CDE1092DB34FA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Compliance Checklist" sheetId="2" r:id="rId2"/>
    <sheet name="Risk Assessment" sheetId="3" r:id="rId3"/>
    <sheet name="Audit Tracker" sheetId="4" r:id="rId4"/>
    <sheet name="Corrective Action Log" sheetId="5" r:id="rId5"/>
    <sheet name="SOP Register" sheetId="6" r:id="rId6"/>
    <sheet name="Quality KPI Tracker" sheetId="7" r:id="rId7"/>
    <sheet name="Incident Log" sheetId="8" r:id="rId8"/>
    <sheet name="Staff Training" sheetId="9" r:id="rId9"/>
    <sheet name="Document Control" sheetId="10" r:id="rId10"/>
    <sheet name="Process Flow" sheetId="11" r:id="rId11"/>
    <sheet name="Validation List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7" l="1"/>
  <c r="D10" i="7"/>
  <c r="D9" i="7"/>
  <c r="D8" i="7"/>
  <c r="D7" i="7"/>
  <c r="D6" i="7"/>
  <c r="D5" i="7"/>
  <c r="D4" i="7"/>
  <c r="H8" i="5"/>
  <c r="H7" i="5"/>
  <c r="H6" i="5"/>
  <c r="H5" i="5"/>
  <c r="H4" i="5"/>
  <c r="G11" i="3"/>
  <c r="F11" i="3"/>
  <c r="G10" i="3"/>
  <c r="F10" i="3"/>
  <c r="G9" i="3"/>
  <c r="F9" i="3"/>
  <c r="F8" i="3"/>
  <c r="G8" i="3" s="1"/>
  <c r="F7" i="3"/>
  <c r="G7" i="3" s="1"/>
  <c r="F6" i="3"/>
  <c r="G6" i="3" s="1"/>
  <c r="B7" i="1" s="1"/>
  <c r="D7" i="1" s="1"/>
  <c r="G5" i="3"/>
  <c r="F5" i="3"/>
  <c r="G4" i="3"/>
  <c r="F4" i="3"/>
  <c r="B9" i="1"/>
  <c r="D9" i="1" s="1"/>
  <c r="B8" i="1"/>
  <c r="D8" i="1" s="1"/>
  <c r="B6" i="1"/>
  <c r="D6" i="1" s="1"/>
  <c r="B5" i="1"/>
  <c r="D5" i="1" s="1"/>
  <c r="B4" i="1"/>
  <c r="D4" i="1" s="1"/>
</calcChain>
</file>

<file path=xl/sharedStrings.xml><?xml version="1.0" encoding="utf-8"?>
<sst xmlns="http://schemas.openxmlformats.org/spreadsheetml/2006/main" count="655" uniqueCount="388">
  <si>
    <t>Compliance and Quality Assurance Dashboard</t>
  </si>
  <si>
    <t>Metric</t>
  </si>
  <si>
    <t>Current Value</t>
  </si>
  <si>
    <t>Target / Reference</t>
  </si>
  <si>
    <t>Status</t>
  </si>
  <si>
    <t>Audit Type</t>
  </si>
  <si>
    <t>Compliance Score</t>
  </si>
  <si>
    <t>Checklist items reviewed</t>
  </si>
  <si>
    <t>12 active items</t>
  </si>
  <si>
    <t>Patient Record Audit</t>
  </si>
  <si>
    <t>Checklist compliance rate</t>
  </si>
  <si>
    <t>90% or above</t>
  </si>
  <si>
    <t>Consent Form Audit</t>
  </si>
  <si>
    <t>Open corrective actions</t>
  </si>
  <si>
    <t>0 overdue actions</t>
  </si>
  <si>
    <t>Access Control Review</t>
  </si>
  <si>
    <t>High or critical risks</t>
  </si>
  <si>
    <t>Actively controlled</t>
  </si>
  <si>
    <t>Incident Report Review</t>
  </si>
  <si>
    <t>Average audit compliance</t>
  </si>
  <si>
    <t>Staff File Audit</t>
  </si>
  <si>
    <t>KPI targets achieved</t>
  </si>
  <si>
    <t>5 or more</t>
  </si>
  <si>
    <t>Cleaning Log Review</t>
  </si>
  <si>
    <t>Risk Level</t>
  </si>
  <si>
    <t>Count</t>
  </si>
  <si>
    <t>KPI</t>
  </si>
  <si>
    <t>Target Score</t>
  </si>
  <si>
    <t>Actual Score</t>
  </si>
  <si>
    <t>Low</t>
  </si>
  <si>
    <t>Patient record completion rate</t>
  </si>
  <si>
    <t>Medium</t>
  </si>
  <si>
    <t>Consent form accuracy</t>
  </si>
  <si>
    <t>High</t>
  </si>
  <si>
    <t>Appointment documentation accuracy</t>
  </si>
  <si>
    <t>Critical</t>
  </si>
  <si>
    <t>Incident closure within deadline</t>
  </si>
  <si>
    <t>Staff training completion</t>
  </si>
  <si>
    <t>Corrective action closure</t>
  </si>
  <si>
    <t>Access permission review completion</t>
  </si>
  <si>
    <t>Cleaning log completion</t>
  </si>
  <si>
    <t>Compliance Checklist</t>
  </si>
  <si>
    <t>Area</t>
  </si>
  <si>
    <t>Checklist Item</t>
  </si>
  <si>
    <t>Evidence Required</t>
  </si>
  <si>
    <t>Frequency</t>
  </si>
  <si>
    <t>Owner</t>
  </si>
  <si>
    <t>Last Review Date</t>
  </si>
  <si>
    <t>Next Review Date</t>
  </si>
  <si>
    <t>Action Required</t>
  </si>
  <si>
    <t>Notes</t>
  </si>
  <si>
    <t>Patient Records</t>
  </si>
  <si>
    <t>Patient ID and demographic details are complete</t>
  </si>
  <si>
    <t>Patient record sample</t>
  </si>
  <si>
    <t>Monthly</t>
  </si>
  <si>
    <t>Records Officer</t>
  </si>
  <si>
    <t>Compliant</t>
  </si>
  <si>
    <t>Continue monthly spot checks</t>
  </si>
  <si>
    <t>Accuracy verified for reviewed files</t>
  </si>
  <si>
    <t>Clinical forms are filed in the correct patient record</t>
  </si>
  <si>
    <t>File review log</t>
  </si>
  <si>
    <t>Records Supervisor</t>
  </si>
  <si>
    <t>Partial</t>
  </si>
  <si>
    <t>Recheck records with missing indexing labels</t>
  </si>
  <si>
    <t>Indexing review required</t>
  </si>
  <si>
    <t>Consent Forms</t>
  </si>
  <si>
    <t>Consent forms are signed, dated, and stored correctly</t>
  </si>
  <si>
    <t>Consent form sample</t>
  </si>
  <si>
    <t>Admin Officer</t>
  </si>
  <si>
    <t>Request missing signatures before service</t>
  </si>
  <si>
    <t>Two forms need follow-up</t>
  </si>
  <si>
    <t>Appointment Documentation</t>
  </si>
  <si>
    <t>Appointment status and department are recorded accurately</t>
  </si>
  <si>
    <t>Appointment log</t>
  </si>
  <si>
    <t>Weekly</t>
  </si>
  <si>
    <t>Clinic Coordinator</t>
  </si>
  <si>
    <t>Maintain verification before confirmation</t>
  </si>
  <si>
    <t>No critical gaps found</t>
  </si>
  <si>
    <t>Data Protection</t>
  </si>
  <si>
    <t>User access is limited to authorized roles</t>
  </si>
  <si>
    <t>Access list</t>
  </si>
  <si>
    <t>Quarterly</t>
  </si>
  <si>
    <t>Administration Supervisor</t>
  </si>
  <si>
    <t>Review permissions quarterly</t>
  </si>
  <si>
    <t>Role access list confirmed</t>
  </si>
  <si>
    <t>Backup and Recovery</t>
  </si>
  <si>
    <t>Backup log is completed and reviewed</t>
  </si>
  <si>
    <t>Backup log</t>
  </si>
  <si>
    <t>Pending Review</t>
  </si>
  <si>
    <t>Complete weekly evidence check</t>
  </si>
  <si>
    <t>Evidence pending</t>
  </si>
  <si>
    <t>Incident Reporting</t>
  </si>
  <si>
    <t>Incidents are documented on the same working day</t>
  </si>
  <si>
    <t>Incident register</t>
  </si>
  <si>
    <t>Quality Coordinator</t>
  </si>
  <si>
    <t>Continue review of closure notes</t>
  </si>
  <si>
    <t>Reporting timeline met</t>
  </si>
  <si>
    <t>Staff Documentation</t>
  </si>
  <si>
    <t>Licenses and mandatory training records are current</t>
  </si>
  <si>
    <t>Staff file audit</t>
  </si>
  <si>
    <t>HR/Admin Officer</t>
  </si>
  <si>
    <t>Update training evidence for new staff</t>
  </si>
  <si>
    <t>Two files need updated certificates</t>
  </si>
  <si>
    <t>Infection Control</t>
  </si>
  <si>
    <t>Cleaning and hygiene logs are completed</t>
  </si>
  <si>
    <t>Cleaning checklist</t>
  </si>
  <si>
    <t>Daily</t>
  </si>
  <si>
    <t>Nursing Lead</t>
  </si>
  <si>
    <t>Continue daily checks</t>
  </si>
  <si>
    <t>All logs signed</t>
  </si>
  <si>
    <t>Document Control</t>
  </si>
  <si>
    <t>SOP versions are approved and current</t>
  </si>
  <si>
    <t>SOP register</t>
  </si>
  <si>
    <t>Archive superseded versions</t>
  </si>
  <si>
    <t>Register updated</t>
  </si>
  <si>
    <t>Patient Complaints</t>
  </si>
  <si>
    <t>Complaint records include action and closure evidence</t>
  </si>
  <si>
    <t>Complaint tracker</t>
  </si>
  <si>
    <t>Patient Relations Officer</t>
  </si>
  <si>
    <t>Add closure evidence for open case</t>
  </si>
  <si>
    <t>One case awaiting confirmation</t>
  </si>
  <si>
    <t>Audit Readiness</t>
  </si>
  <si>
    <t>Corrective action plans include owner and due date</t>
  </si>
  <si>
    <t>Action log</t>
  </si>
  <si>
    <t>Maintain action ownership review</t>
  </si>
  <si>
    <t>All actions assigned</t>
  </si>
  <si>
    <t>Risk Assessment Register</t>
  </si>
  <si>
    <t>Risk ID</t>
  </si>
  <si>
    <t>Process Area</t>
  </si>
  <si>
    <t>Risk Description</t>
  </si>
  <si>
    <t>Likelihood</t>
  </si>
  <si>
    <t>Impact</t>
  </si>
  <si>
    <t>Risk Score</t>
  </si>
  <si>
    <t>Control Measure</t>
  </si>
  <si>
    <t>Review Date</t>
  </si>
  <si>
    <t>Residual Risk</t>
  </si>
  <si>
    <t>R-001</t>
  </si>
  <si>
    <t>Incorrect patient record entry</t>
  </si>
  <si>
    <t>Double-check identifier fields and use validation rules</t>
  </si>
  <si>
    <t>In Progress</t>
  </si>
  <si>
    <t>R-002</t>
  </si>
  <si>
    <t>Missing or incomplete consent documentation</t>
  </si>
  <si>
    <t>Pre-service document verification checklist</t>
  </si>
  <si>
    <t>Open</t>
  </si>
  <si>
    <t>R-003</t>
  </si>
  <si>
    <t>Unauthorized access to patient information</t>
  </si>
  <si>
    <t>Role-based access review and user access log</t>
  </si>
  <si>
    <t>R-004</t>
  </si>
  <si>
    <t>Delayed reporting of patient service incidents</t>
  </si>
  <si>
    <t>Same-day incident logging and supervisor review</t>
  </si>
  <si>
    <t>R-005</t>
  </si>
  <si>
    <t>Expired staff license or missing training evidence</t>
  </si>
  <si>
    <t>Quarterly staff file review and training tracker</t>
  </si>
  <si>
    <t>R-006</t>
  </si>
  <si>
    <t>Incorrect department selected during appointment entry</t>
  </si>
  <si>
    <t>Department selection list and confirmation step</t>
  </si>
  <si>
    <t>Closed</t>
  </si>
  <si>
    <t>R-007</t>
  </si>
  <si>
    <t>Backup evidence not reviewed on schedule</t>
  </si>
  <si>
    <t>Weekly backup review and supervisor sign-off</t>
  </si>
  <si>
    <t>R-008</t>
  </si>
  <si>
    <t>Staff use outdated SOP version</t>
  </si>
  <si>
    <t>Controlled SOP register and version notice</t>
  </si>
  <si>
    <t>Internal Audit Tracker</t>
  </si>
  <si>
    <t>Audit ID</t>
  </si>
  <si>
    <t>Department</t>
  </si>
  <si>
    <t>Audit Date</t>
  </si>
  <si>
    <t>Sample Size</t>
  </si>
  <si>
    <t>Findings</t>
  </si>
  <si>
    <t>Compliance %</t>
  </si>
  <si>
    <t>Auditor</t>
  </si>
  <si>
    <t>Next Review</t>
  </si>
  <si>
    <t>A-001</t>
  </si>
  <si>
    <t>Medical Records</t>
  </si>
  <si>
    <t>Two indexing issues corrected</t>
  </si>
  <si>
    <t>A-002</t>
  </si>
  <si>
    <t>Outpatient Services</t>
  </si>
  <si>
    <t>Signatures pending for selected files</t>
  </si>
  <si>
    <t>A-003</t>
  </si>
  <si>
    <t>Administration</t>
  </si>
  <si>
    <t>Access roles confirmed</t>
  </si>
  <si>
    <t>A-004</t>
  </si>
  <si>
    <t>Quality</t>
  </si>
  <si>
    <t>Closure evidence improved</t>
  </si>
  <si>
    <t>A-005</t>
  </si>
  <si>
    <t>HR/Admin</t>
  </si>
  <si>
    <t>Training evidence update needed</t>
  </si>
  <si>
    <t>A-006</t>
  </si>
  <si>
    <t>Nursing</t>
  </si>
  <si>
    <t>Daily log completed</t>
  </si>
  <si>
    <t>Corrective Action Log</t>
  </si>
  <si>
    <t>Action ID</t>
  </si>
  <si>
    <t>Source</t>
  </si>
  <si>
    <t>Finding</t>
  </si>
  <si>
    <t>Root Cause</t>
  </si>
  <si>
    <t>Action Owner</t>
  </si>
  <si>
    <t>Due Date</t>
  </si>
  <si>
    <t>Days Remaining</t>
  </si>
  <si>
    <t>Verification Date</t>
  </si>
  <si>
    <t>Closure Evidence</t>
  </si>
  <si>
    <t>CA-001</t>
  </si>
  <si>
    <t>Missing signature on selected consent forms</t>
  </si>
  <si>
    <t>Pre-service check not consistently completed</t>
  </si>
  <si>
    <t>Updated forms to be attached</t>
  </si>
  <si>
    <t>CA-002</t>
  </si>
  <si>
    <t>Indexing label missing on two records</t>
  </si>
  <si>
    <t>Manual filing step skipped</t>
  </si>
  <si>
    <t>Records rechecked and signed off</t>
  </si>
  <si>
    <t>CA-003</t>
  </si>
  <si>
    <t>Training evidence missing for two staff files</t>
  </si>
  <si>
    <t>Training evidence not uploaded after completion</t>
  </si>
  <si>
    <t>Certificates pending</t>
  </si>
  <si>
    <t>CA-004</t>
  </si>
  <si>
    <t>Backup Review</t>
  </si>
  <si>
    <t>Weekly backup evidence pending</t>
  </si>
  <si>
    <t>Supervisor review not completed by deadline</t>
  </si>
  <si>
    <t>Backup evidence to be reviewed</t>
  </si>
  <si>
    <t>CA-005</t>
  </si>
  <si>
    <t>Complaint Tracker</t>
  </si>
  <si>
    <t>Closure evidence missing for one complaint</t>
  </si>
  <si>
    <t>Follow-up confirmation not recorded</t>
  </si>
  <si>
    <t>Patient update confirmation pending</t>
  </si>
  <si>
    <t>SOP Register</t>
  </si>
  <si>
    <t>SOP ID</t>
  </si>
  <si>
    <t>SOP Title</t>
  </si>
  <si>
    <t>Process Owner</t>
  </si>
  <si>
    <t>Version</t>
  </si>
  <si>
    <t>Effective Date</t>
  </si>
  <si>
    <t>Related Area</t>
  </si>
  <si>
    <t>Change Notes</t>
  </si>
  <si>
    <t>SOP-001</t>
  </si>
  <si>
    <t>Patient Record Documentation</t>
  </si>
  <si>
    <t>1.0</t>
  </si>
  <si>
    <t>Approved</t>
  </si>
  <si>
    <t>New controlled version</t>
  </si>
  <si>
    <t>SOP-002</t>
  </si>
  <si>
    <t>Appointment Verification</t>
  </si>
  <si>
    <t>Added department check</t>
  </si>
  <si>
    <t>SOP-003</t>
  </si>
  <si>
    <t>Consent Form Review</t>
  </si>
  <si>
    <t>Added pre-service review</t>
  </si>
  <si>
    <t>SOP-004</t>
  </si>
  <si>
    <t>Incident Reporting and Escalation</t>
  </si>
  <si>
    <t>Included same-day reporting rule</t>
  </si>
  <si>
    <t>SOP-005</t>
  </si>
  <si>
    <t>Internal Audit and Corrective Action</t>
  </si>
  <si>
    <t>Linked audit tracker to action log</t>
  </si>
  <si>
    <t>SOP-006</t>
  </si>
  <si>
    <t>Data Access Control</t>
  </si>
  <si>
    <t>Defined role access review</t>
  </si>
  <si>
    <t>SOP-007</t>
  </si>
  <si>
    <t>Added version control steps</t>
  </si>
  <si>
    <t>Quality KPI Tracker</t>
  </si>
  <si>
    <t>Target</t>
  </si>
  <si>
    <t>Actual</t>
  </si>
  <si>
    <t>Gap</t>
  </si>
  <si>
    <t>Month</t>
  </si>
  <si>
    <t>Trend</t>
  </si>
  <si>
    <t>June 2026</t>
  </si>
  <si>
    <t>Monitor</t>
  </si>
  <si>
    <t>Improving</t>
  </si>
  <si>
    <t>Near target</t>
  </si>
  <si>
    <t>Action Needed</t>
  </si>
  <si>
    <t>Declining</t>
  </si>
  <si>
    <t>Missing signatures addressed</t>
  </si>
  <si>
    <t>On Track</t>
  </si>
  <si>
    <t>Stable</t>
  </si>
  <si>
    <t>Above target</t>
  </si>
  <si>
    <t>One closure pending</t>
  </si>
  <si>
    <t>Evidence updates needed</t>
  </si>
  <si>
    <t>Open actions have due dates</t>
  </si>
  <si>
    <t>Completed</t>
  </si>
  <si>
    <t>Fully completed</t>
  </si>
  <si>
    <t>Incident and Quality Event Log</t>
  </si>
  <si>
    <t>Incident ID</t>
  </si>
  <si>
    <t>Date</t>
  </si>
  <si>
    <t>Category</t>
  </si>
  <si>
    <t>Severity</t>
  </si>
  <si>
    <t>Summary</t>
  </si>
  <si>
    <t>Immediate Action</t>
  </si>
  <si>
    <t>Closure Date</t>
  </si>
  <si>
    <t>Lessons Learned</t>
  </si>
  <si>
    <t>I-001</t>
  </si>
  <si>
    <t>Documentation</t>
  </si>
  <si>
    <t>Appointment department was updated after verification</t>
  </si>
  <si>
    <t>Correct department confirmed and record updated</t>
  </si>
  <si>
    <t>Add second check before final confirmation</t>
  </si>
  <si>
    <t>I-002</t>
  </si>
  <si>
    <t>Records</t>
  </si>
  <si>
    <t>Filing</t>
  </si>
  <si>
    <t>Indexing label missing on selected record</t>
  </si>
  <si>
    <t>Record label corrected</t>
  </si>
  <si>
    <t>Use daily end-of-day filing check</t>
  </si>
  <si>
    <t>I-003</t>
  </si>
  <si>
    <t>Access Review</t>
  </si>
  <si>
    <t>New staff role access pending review</t>
  </si>
  <si>
    <t>Supervisor reviewed access list</t>
  </si>
  <si>
    <t>Add new staff access review to onboarding checklist</t>
  </si>
  <si>
    <t>I-004</t>
  </si>
  <si>
    <t>Billing</t>
  </si>
  <si>
    <t>Insurance approval evidence pending in record</t>
  </si>
  <si>
    <t>Billing officer requested approval evidence</t>
  </si>
  <si>
    <t>Billing Officer</t>
  </si>
  <si>
    <t>Link billing updates to record tracker</t>
  </si>
  <si>
    <t>Staff Training Tracker</t>
  </si>
  <si>
    <t>Staff ID</t>
  </si>
  <si>
    <t>Role</t>
  </si>
  <si>
    <t>Training Topic</t>
  </si>
  <si>
    <t>Required Frequency</t>
  </si>
  <si>
    <t>Completion Date</t>
  </si>
  <si>
    <t>Expiry Date</t>
  </si>
  <si>
    <t>Evidence Link</t>
  </si>
  <si>
    <t>Supervisor</t>
  </si>
  <si>
    <t>S-001</t>
  </si>
  <si>
    <t>Patient record documentation</t>
  </si>
  <si>
    <t>Annual</t>
  </si>
  <si>
    <t>Complete</t>
  </si>
  <si>
    <t>Training folder</t>
  </si>
  <si>
    <t>S-002</t>
  </si>
  <si>
    <t>Consent form verification</t>
  </si>
  <si>
    <t>S-003</t>
  </si>
  <si>
    <t>Operations Supervisor</t>
  </si>
  <si>
    <t>S-004</t>
  </si>
  <si>
    <t>Internal audit and corrective action</t>
  </si>
  <si>
    <t>S-005</t>
  </si>
  <si>
    <t>New Admin Staff</t>
  </si>
  <si>
    <t>Data protection and confidentiality</t>
  </si>
  <si>
    <t>Pending</t>
  </si>
  <si>
    <t>To be uploaded</t>
  </si>
  <si>
    <t>Document Control Register</t>
  </si>
  <si>
    <t>Doc ID</t>
  </si>
  <si>
    <t>Document Name</t>
  </si>
  <si>
    <t>Document Type</t>
  </si>
  <si>
    <t>Issue Date</t>
  </si>
  <si>
    <t>Approved By</t>
  </si>
  <si>
    <t>Storage Location</t>
  </si>
  <si>
    <t>D-001</t>
  </si>
  <si>
    <t>Patient Record Documentation SOP</t>
  </si>
  <si>
    <t>SOP</t>
  </si>
  <si>
    <t>Controlled Documents</t>
  </si>
  <si>
    <t>D-002</t>
  </si>
  <si>
    <t>Checklist</t>
  </si>
  <si>
    <t>Quality Folder</t>
  </si>
  <si>
    <t>D-003</t>
  </si>
  <si>
    <t>Register</t>
  </si>
  <si>
    <t>D-004</t>
  </si>
  <si>
    <t>Tracker</t>
  </si>
  <si>
    <t>Audit Folder</t>
  </si>
  <si>
    <t>D-005</t>
  </si>
  <si>
    <t>Compliance Audit and Corrective Action Process Flow</t>
  </si>
  <si>
    <t>Step</t>
  </si>
  <si>
    <t>Process Stage</t>
  </si>
  <si>
    <t>Main Activity</t>
  </si>
  <si>
    <t>Responsible Role</t>
  </si>
  <si>
    <t>Output</t>
  </si>
  <si>
    <t>Control Point</t>
  </si>
  <si>
    <t>Plan Audit</t>
  </si>
  <si>
    <t>Define audit area, sample size, and audit date</t>
  </si>
  <si>
    <t>Audit plan</t>
  </si>
  <si>
    <t>Audit scope approved</t>
  </si>
  <si>
    <t>Collect Evidence</t>
  </si>
  <si>
    <t>Gather records, forms, logs, and tracker entries</t>
  </si>
  <si>
    <t>Assigned Auditor</t>
  </si>
  <si>
    <t>Evidence pack</t>
  </si>
  <si>
    <t>Evidence source recorded</t>
  </si>
  <si>
    <t>Review Compliance</t>
  </si>
  <si>
    <t>Compare evidence with checklist and SOP requirements</t>
  </si>
  <si>
    <t>Audit findings</t>
  </si>
  <si>
    <t>Checklist completed</t>
  </si>
  <si>
    <t>Rate Risk</t>
  </si>
  <si>
    <t>Assign risk level for each gap found</t>
  </si>
  <si>
    <t>Risk rating</t>
  </si>
  <si>
    <t>Likelihood and impact reviewed</t>
  </si>
  <si>
    <t>Assign Action</t>
  </si>
  <si>
    <t>Create corrective action with owner and due date</t>
  </si>
  <si>
    <t>Department Lead</t>
  </si>
  <si>
    <t>Action log entry</t>
  </si>
  <si>
    <t>Owner and deadline confirmed</t>
  </si>
  <si>
    <t>Verify Closure</t>
  </si>
  <si>
    <t>Check evidence after action completion</t>
  </si>
  <si>
    <t>Closure evidence</t>
  </si>
  <si>
    <t>Supervisor verification</t>
  </si>
  <si>
    <t>Improve Process</t>
  </si>
  <si>
    <t>Update SOP, checklist, or training where needed</t>
  </si>
  <si>
    <t>Updated control</t>
  </si>
  <si>
    <t>Change recorded in register</t>
  </si>
  <si>
    <t>Non-Compliant</t>
  </si>
  <si>
    <t>Semi-Annual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</si>
</sst>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9" fontId="0" fillId="0" borderId="0" xfId="0" applyNumberFormat="1" applyAlignment="1">
      <alignment vertical="top" wrapText="1"/>
    </xf>
    <xf numFmtId="9" fontId="0" fillId="0" borderId="0" xfId="0" applyNumberFormat="1"/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8"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Audit Compliance by Area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Compliance %</c:v>
          </c:tx>
          <c:invertIfNegative val="1"/>
          <c:cat>
            <c:strRef>
              <c:f>Dashboard!$F$4:$F$9</c:f>
              <c:strCache>
                <c:ptCount val="6"/>
                <c:pt idx="0">
                  <c:v>Patient Record Audit</c:v>
                </c:pt>
                <c:pt idx="1">
                  <c:v>Consent Form Audit</c:v>
                </c:pt>
                <c:pt idx="2">
                  <c:v>Access Control Review</c:v>
                </c:pt>
                <c:pt idx="3">
                  <c:v>Incident Report Review</c:v>
                </c:pt>
                <c:pt idx="4">
                  <c:v>Staff File Audit</c:v>
                </c:pt>
                <c:pt idx="5">
                  <c:v>Cleaning Log Review</c:v>
                </c:pt>
              </c:strCache>
            </c:strRef>
          </c:cat>
          <c:val>
            <c:numRef>
              <c:f>Dashboard!$G$4:$G$9</c:f>
              <c:numCache>
                <c:formatCode>0</c:formatCode>
                <c:ptCount val="6"/>
                <c:pt idx="0">
                  <c:v>92</c:v>
                </c:pt>
                <c:pt idx="1">
                  <c:v>85</c:v>
                </c:pt>
                <c:pt idx="2">
                  <c:v>100</c:v>
                </c:pt>
                <c:pt idx="3">
                  <c:v>88</c:v>
                </c:pt>
                <c:pt idx="4">
                  <c:v>87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6-423B-BEE0-9563E6B5E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Risk Level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Dashboard!$A$13:$A$16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Dashboard!$B$13:$B$16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2-4B8D-88D9-E7EDA3118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KPI Target vs Actual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Target</c:v>
          </c:tx>
          <c:invertIfNegative val="1"/>
          <c:cat>
            <c:strRef>
              <c:f>Dashboard!$D$13:$D$20</c:f>
              <c:strCache>
                <c:ptCount val="8"/>
                <c:pt idx="0">
                  <c:v>Patient record completion rate</c:v>
                </c:pt>
                <c:pt idx="1">
                  <c:v>Consent form accuracy</c:v>
                </c:pt>
                <c:pt idx="2">
                  <c:v>Appointment documentation accuracy</c:v>
                </c:pt>
                <c:pt idx="3">
                  <c:v>Incident closure within deadline</c:v>
                </c:pt>
                <c:pt idx="4">
                  <c:v>Staff training completion</c:v>
                </c:pt>
                <c:pt idx="5">
                  <c:v>Corrective action closure</c:v>
                </c:pt>
                <c:pt idx="6">
                  <c:v>Access permission review completion</c:v>
                </c:pt>
                <c:pt idx="7">
                  <c:v>Cleaning log completion</c:v>
                </c:pt>
              </c:strCache>
            </c:strRef>
          </c:cat>
          <c:val>
            <c:numRef>
              <c:f>Dashboard!$E$13:$E$20</c:f>
              <c:numCache>
                <c:formatCode>0</c:formatCode>
                <c:ptCount val="8"/>
                <c:pt idx="0">
                  <c:v>95</c:v>
                </c:pt>
                <c:pt idx="1">
                  <c:v>100</c:v>
                </c:pt>
                <c:pt idx="2">
                  <c:v>95</c:v>
                </c:pt>
                <c:pt idx="3">
                  <c:v>90</c:v>
                </c:pt>
                <c:pt idx="4">
                  <c:v>100</c:v>
                </c:pt>
                <c:pt idx="5">
                  <c:v>90</c:v>
                </c:pt>
                <c:pt idx="6">
                  <c:v>100</c:v>
                </c:pt>
                <c:pt idx="7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1-471F-9299-1638AE89836A}"/>
            </c:ext>
          </c:extLst>
        </c:ser>
        <c:ser>
          <c:idx val="1"/>
          <c:order val="1"/>
          <c:tx>
            <c:v>Actual</c:v>
          </c:tx>
          <c:invertIfNegative val="1"/>
          <c:cat>
            <c:strRef>
              <c:f>Dashboard!$D$13:$D$20</c:f>
              <c:strCache>
                <c:ptCount val="8"/>
                <c:pt idx="0">
                  <c:v>Patient record completion rate</c:v>
                </c:pt>
                <c:pt idx="1">
                  <c:v>Consent form accuracy</c:v>
                </c:pt>
                <c:pt idx="2">
                  <c:v>Appointment documentation accuracy</c:v>
                </c:pt>
                <c:pt idx="3">
                  <c:v>Incident closure within deadline</c:v>
                </c:pt>
                <c:pt idx="4">
                  <c:v>Staff training completion</c:v>
                </c:pt>
                <c:pt idx="5">
                  <c:v>Corrective action closure</c:v>
                </c:pt>
                <c:pt idx="6">
                  <c:v>Access permission review completion</c:v>
                </c:pt>
                <c:pt idx="7">
                  <c:v>Cleaning log completion</c:v>
                </c:pt>
              </c:strCache>
            </c:strRef>
          </c:cat>
          <c:val>
            <c:numRef>
              <c:f>Dashboard!$F$13:$F$20</c:f>
              <c:numCache>
                <c:formatCode>0</c:formatCode>
                <c:ptCount val="8"/>
                <c:pt idx="0">
                  <c:v>94</c:v>
                </c:pt>
                <c:pt idx="1">
                  <c:v>91</c:v>
                </c:pt>
                <c:pt idx="2">
                  <c:v>96</c:v>
                </c:pt>
                <c:pt idx="3">
                  <c:v>88</c:v>
                </c:pt>
                <c:pt idx="4">
                  <c:v>93</c:v>
                </c:pt>
                <c:pt idx="5">
                  <c:v>86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71-471F-9299-1638AE898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lianceChecklistTable" displayName="ComplianceChecklistTable" ref="A3:K15">
  <tableColumns count="11">
    <tableColumn id="1" xr3:uid="{00000000-0010-0000-0000-000001000000}" name="Area"/>
    <tableColumn id="2" xr3:uid="{00000000-0010-0000-0000-000002000000}" name="Checklist Item"/>
    <tableColumn id="3" xr3:uid="{00000000-0010-0000-0000-000003000000}" name="Evidence Required"/>
    <tableColumn id="4" xr3:uid="{00000000-0010-0000-0000-000004000000}" name="Frequency"/>
    <tableColumn id="5" xr3:uid="{00000000-0010-0000-0000-000005000000}" name="Owner"/>
    <tableColumn id="6" xr3:uid="{00000000-0010-0000-0000-000006000000}" name="Status"/>
    <tableColumn id="7" xr3:uid="{00000000-0010-0000-0000-000007000000}" name="Risk Level"/>
    <tableColumn id="8" xr3:uid="{00000000-0010-0000-0000-000008000000}" name="Last Review Date"/>
    <tableColumn id="9" xr3:uid="{00000000-0010-0000-0000-000009000000}" name="Next Review Date"/>
    <tableColumn id="10" xr3:uid="{00000000-0010-0000-0000-00000A000000}" name="Action Required"/>
    <tableColumn id="11" xr3:uid="{00000000-0010-0000-0000-00000B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AssessmentTable" displayName="RiskAssessmentTable" ref="A3:L11">
  <tableColumns count="12">
    <tableColumn id="1" xr3:uid="{00000000-0010-0000-0100-000001000000}" name="Risk ID"/>
    <tableColumn id="2" xr3:uid="{00000000-0010-0000-0100-000002000000}" name="Process Area"/>
    <tableColumn id="3" xr3:uid="{00000000-0010-0000-0100-000003000000}" name="Risk Description"/>
    <tableColumn id="4" xr3:uid="{00000000-0010-0000-0100-000004000000}" name="Likelihood"/>
    <tableColumn id="5" xr3:uid="{00000000-0010-0000-0100-000005000000}" name="Impact"/>
    <tableColumn id="6" xr3:uid="{00000000-0010-0000-0100-000006000000}" name="Risk Score"/>
    <tableColumn id="7" xr3:uid="{00000000-0010-0000-0100-000007000000}" name="Risk Level"/>
    <tableColumn id="8" xr3:uid="{00000000-0010-0000-0100-000008000000}" name="Control Measure"/>
    <tableColumn id="9" xr3:uid="{00000000-0010-0000-0100-000009000000}" name="Owner"/>
    <tableColumn id="10" xr3:uid="{00000000-0010-0000-0100-00000A000000}" name="Review Date"/>
    <tableColumn id="11" xr3:uid="{00000000-0010-0000-0100-00000B000000}" name="Status"/>
    <tableColumn id="12" xr3:uid="{00000000-0010-0000-0100-00000C000000}" name="Residual Ri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ternalAuditTrackerTable" displayName="InternalAuditTrackerTable" ref="A3:K9">
  <tableColumns count="11">
    <tableColumn id="1" xr3:uid="{00000000-0010-0000-0200-000001000000}" name="Audit ID"/>
    <tableColumn id="2" xr3:uid="{00000000-0010-0000-0200-000002000000}" name="Audit Type"/>
    <tableColumn id="3" xr3:uid="{00000000-0010-0000-0200-000003000000}" name="Department"/>
    <tableColumn id="4" xr3:uid="{00000000-0010-0000-0200-000004000000}" name="Audit Date"/>
    <tableColumn id="5" xr3:uid="{00000000-0010-0000-0200-000005000000}" name="Sample Size"/>
    <tableColumn id="6" xr3:uid="{00000000-0010-0000-0200-000006000000}" name="Findings"/>
    <tableColumn id="7" xr3:uid="{00000000-0010-0000-0200-000007000000}" name="Compliance %"/>
    <tableColumn id="8" xr3:uid="{00000000-0010-0000-0200-000008000000}" name="Auditor"/>
    <tableColumn id="9" xr3:uid="{00000000-0010-0000-0200-000009000000}" name="Status"/>
    <tableColumn id="10" xr3:uid="{00000000-0010-0000-0200-00000A000000}" name="Next Review"/>
    <tableColumn id="11" xr3:uid="{00000000-0010-0000-0200-00000B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rrectiveActionLogTable" displayName="CorrectiveActionLogTable" ref="A3:J8">
  <tableColumns count="10">
    <tableColumn id="1" xr3:uid="{00000000-0010-0000-0300-000001000000}" name="Action ID"/>
    <tableColumn id="2" xr3:uid="{00000000-0010-0000-0300-000002000000}" name="Source"/>
    <tableColumn id="3" xr3:uid="{00000000-0010-0000-0300-000003000000}" name="Finding"/>
    <tableColumn id="4" xr3:uid="{00000000-0010-0000-0300-000004000000}" name="Root Cause"/>
    <tableColumn id="5" xr3:uid="{00000000-0010-0000-0300-000005000000}" name="Action Owner"/>
    <tableColumn id="6" xr3:uid="{00000000-0010-0000-0300-000006000000}" name="Due Date"/>
    <tableColumn id="7" xr3:uid="{00000000-0010-0000-0300-000007000000}" name="Status"/>
    <tableColumn id="8" xr3:uid="{00000000-0010-0000-0300-000008000000}" name="Days Remaining"/>
    <tableColumn id="9" xr3:uid="{00000000-0010-0000-0300-000009000000}" name="Verification Date"/>
    <tableColumn id="10" xr3:uid="{00000000-0010-0000-0300-00000A000000}" name="Closure Evid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PRegisterTable" displayName="SOPRegisterTable" ref="A3:I10">
  <tableColumns count="9">
    <tableColumn id="1" xr3:uid="{00000000-0010-0000-0400-000001000000}" name="SOP ID"/>
    <tableColumn id="2" xr3:uid="{00000000-0010-0000-0400-000002000000}" name="SOP Title"/>
    <tableColumn id="3" xr3:uid="{00000000-0010-0000-0400-000003000000}" name="Process Owner"/>
    <tableColumn id="4" xr3:uid="{00000000-0010-0000-0400-000004000000}" name="Version"/>
    <tableColumn id="5" xr3:uid="{00000000-0010-0000-0400-000005000000}" name="Effective Date"/>
    <tableColumn id="6" xr3:uid="{00000000-0010-0000-0400-000006000000}" name="Review Date"/>
    <tableColumn id="7" xr3:uid="{00000000-0010-0000-0400-000007000000}" name="Status"/>
    <tableColumn id="8" xr3:uid="{00000000-0010-0000-0400-000008000000}" name="Related Area"/>
    <tableColumn id="9" xr3:uid="{00000000-0010-0000-0400-000009000000}" name="Change 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alityKPITrackerTable" displayName="QualityKPITrackerTable" ref="A3:I11">
  <tableColumns count="9">
    <tableColumn id="1" xr3:uid="{00000000-0010-0000-0500-000001000000}" name="KPI"/>
    <tableColumn id="2" xr3:uid="{00000000-0010-0000-0500-000002000000}" name="Target"/>
    <tableColumn id="3" xr3:uid="{00000000-0010-0000-0500-000003000000}" name="Actual"/>
    <tableColumn id="4" xr3:uid="{00000000-0010-0000-0500-000004000000}" name="Gap"/>
    <tableColumn id="5" xr3:uid="{00000000-0010-0000-0500-000005000000}" name="Month"/>
    <tableColumn id="6" xr3:uid="{00000000-0010-0000-0500-000006000000}" name="Owner"/>
    <tableColumn id="7" xr3:uid="{00000000-0010-0000-0500-000007000000}" name="Status"/>
    <tableColumn id="8" xr3:uid="{00000000-0010-0000-0500-000008000000}" name="Trend"/>
    <tableColumn id="9" xr3:uid="{00000000-0010-0000-0500-000009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ncidentQualityEventLogTable" displayName="IncidentQualityEventLogTable" ref="A3:K7">
  <tableColumns count="11">
    <tableColumn id="1" xr3:uid="{00000000-0010-0000-0600-000001000000}" name="Incident ID"/>
    <tableColumn id="2" xr3:uid="{00000000-0010-0000-0600-000002000000}" name="Date"/>
    <tableColumn id="3" xr3:uid="{00000000-0010-0000-0600-000003000000}" name="Area"/>
    <tableColumn id="4" xr3:uid="{00000000-0010-0000-0600-000004000000}" name="Category"/>
    <tableColumn id="5" xr3:uid="{00000000-0010-0000-0600-000005000000}" name="Severity"/>
    <tableColumn id="6" xr3:uid="{00000000-0010-0000-0600-000006000000}" name="Summary"/>
    <tableColumn id="7" xr3:uid="{00000000-0010-0000-0600-000007000000}" name="Immediate Action"/>
    <tableColumn id="8" xr3:uid="{00000000-0010-0000-0600-000008000000}" name="Owner"/>
    <tableColumn id="9" xr3:uid="{00000000-0010-0000-0600-000009000000}" name="Status"/>
    <tableColumn id="10" xr3:uid="{00000000-0010-0000-0600-00000A000000}" name="Closure Date"/>
    <tableColumn id="11" xr3:uid="{00000000-0010-0000-0600-00000B000000}" name="Lessons Learn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taffTrainingTrackerTable" displayName="StaffTrainingTrackerTable" ref="A3:I8">
  <tableColumns count="9">
    <tableColumn id="1" xr3:uid="{00000000-0010-0000-0700-000001000000}" name="Staff ID"/>
    <tableColumn id="2" xr3:uid="{00000000-0010-0000-0700-000002000000}" name="Role"/>
    <tableColumn id="3" xr3:uid="{00000000-0010-0000-0700-000003000000}" name="Training Topic"/>
    <tableColumn id="4" xr3:uid="{00000000-0010-0000-0700-000004000000}" name="Required Frequency"/>
    <tableColumn id="5" xr3:uid="{00000000-0010-0000-0700-000005000000}" name="Completion Date"/>
    <tableColumn id="6" xr3:uid="{00000000-0010-0000-0700-000006000000}" name="Expiry Date"/>
    <tableColumn id="7" xr3:uid="{00000000-0010-0000-0700-000007000000}" name="Status"/>
    <tableColumn id="8" xr3:uid="{00000000-0010-0000-0700-000008000000}" name="Evidence Link"/>
    <tableColumn id="9" xr3:uid="{00000000-0010-0000-0700-000009000000}" name="Superviso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ocumentControlRegisterTable" displayName="DocumentControlRegisterTable" ref="A3:J8">
  <tableColumns count="10">
    <tableColumn id="1" xr3:uid="{00000000-0010-0000-0800-000001000000}" name="Doc ID"/>
    <tableColumn id="2" xr3:uid="{00000000-0010-0000-0800-000002000000}" name="Document Name"/>
    <tableColumn id="3" xr3:uid="{00000000-0010-0000-0800-000003000000}" name="Document Type"/>
    <tableColumn id="4" xr3:uid="{00000000-0010-0000-0800-000004000000}" name="Owner"/>
    <tableColumn id="5" xr3:uid="{00000000-0010-0000-0800-000005000000}" name="Version"/>
    <tableColumn id="6" xr3:uid="{00000000-0010-0000-0800-000006000000}" name="Issue Date"/>
    <tableColumn id="7" xr3:uid="{00000000-0010-0000-0800-000007000000}" name="Next Review Date"/>
    <tableColumn id="8" xr3:uid="{00000000-0010-0000-0800-000008000000}" name="Approved By"/>
    <tableColumn id="9" xr3:uid="{00000000-0010-0000-0800-000009000000}" name="Status"/>
    <tableColumn id="10" xr3:uid="{00000000-0010-0000-0800-00000A000000}" name="Storage Loc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rocessFlowTable" displayName="ProcessFlowTable" ref="A3:F10">
  <tableColumns count="6">
    <tableColumn id="1" xr3:uid="{00000000-0010-0000-0900-000001000000}" name="Step"/>
    <tableColumn id="2" xr3:uid="{00000000-0010-0000-0900-000002000000}" name="Process Stage"/>
    <tableColumn id="3" xr3:uid="{00000000-0010-0000-0900-000003000000}" name="Main Activity"/>
    <tableColumn id="4" xr3:uid="{00000000-0010-0000-0900-000004000000}" name="Responsible Role"/>
    <tableColumn id="5" xr3:uid="{00000000-0010-0000-0900-000005000000}" name="Output"/>
    <tableColumn id="6" xr3:uid="{00000000-0010-0000-0900-000006000000}" name="Control Po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topLeftCell="A16" workbookViewId="0">
      <selection sqref="A1:H1"/>
    </sheetView>
  </sheetViews>
  <sheetFormatPr defaultRowHeight="13.8"/>
  <cols>
    <col min="1" max="3" width="24" customWidth="1"/>
    <col min="4" max="6" width="26" customWidth="1"/>
    <col min="7" max="7" width="24" customWidth="1"/>
  </cols>
  <sheetData>
    <row r="1" spans="1:26" ht="25.65" customHeight="1">
      <c r="A1" s="11" t="s">
        <v>0</v>
      </c>
      <c r="B1" s="12"/>
      <c r="C1" s="12"/>
      <c r="D1" s="12"/>
      <c r="E1" s="12"/>
      <c r="F1" s="12"/>
      <c r="G1" s="12"/>
      <c r="H1" s="1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>
      <c r="A3" s="1" t="s">
        <v>1</v>
      </c>
      <c r="B3" s="1" t="s">
        <v>2</v>
      </c>
      <c r="C3" s="1" t="s">
        <v>3</v>
      </c>
      <c r="D3" s="1" t="s">
        <v>4</v>
      </c>
      <c r="F3" s="1" t="s">
        <v>5</v>
      </c>
      <c r="G3" s="1" t="s">
        <v>6</v>
      </c>
    </row>
    <row r="4" spans="1:26">
      <c r="A4" s="3" t="s">
        <v>7</v>
      </c>
      <c r="B4" s="3">
        <f>COUNTA('Compliance Checklist'!A4:A15)</f>
        <v>12</v>
      </c>
      <c r="C4" s="3" t="s">
        <v>8</v>
      </c>
      <c r="D4" s="3" t="str">
        <f>IF(B4&gt;=12,"Complete","Review")</f>
        <v>Complete</v>
      </c>
      <c r="F4" s="2" t="s">
        <v>9</v>
      </c>
      <c r="G4" s="10">
        <v>92</v>
      </c>
    </row>
    <row r="5" spans="1:26">
      <c r="A5" s="3" t="s">
        <v>10</v>
      </c>
      <c r="B5" s="6">
        <f>COUNTIF('Compliance Checklist'!F4:F15,"Compliant")/COUNTA('Compliance Checklist'!F4:F15)</f>
        <v>0.58333333333333337</v>
      </c>
      <c r="C5" s="3" t="s">
        <v>11</v>
      </c>
      <c r="D5" s="3" t="str">
        <f>IF(B5&gt;=0.9,"On Track","Action Needed")</f>
        <v>Action Needed</v>
      </c>
      <c r="F5" s="2" t="s">
        <v>12</v>
      </c>
      <c r="G5" s="10">
        <v>85</v>
      </c>
    </row>
    <row r="6" spans="1:26">
      <c r="A6" s="3" t="s">
        <v>13</v>
      </c>
      <c r="B6" s="3">
        <f>COUNTIF('Corrective Action Log'!G4:G8,"Open")</f>
        <v>2</v>
      </c>
      <c r="C6" s="3" t="s">
        <v>14</v>
      </c>
      <c r="D6" s="3" t="str">
        <f>IF(B6=0,"On Track","Action Needed")</f>
        <v>Action Needed</v>
      </c>
      <c r="F6" s="2" t="s">
        <v>15</v>
      </c>
      <c r="G6" s="10">
        <v>100</v>
      </c>
    </row>
    <row r="7" spans="1:26">
      <c r="A7" s="3" t="s">
        <v>16</v>
      </c>
      <c r="B7" s="3">
        <f>COUNTIF('Risk Assessment'!G4:G11,"High")+COUNTIF('Risk Assessment'!G4:G11,"Critical")</f>
        <v>2</v>
      </c>
      <c r="C7" s="3" t="s">
        <v>17</v>
      </c>
      <c r="D7" s="3" t="str">
        <f>IF(B7&lt;=4,"Controlled","Review")</f>
        <v>Controlled</v>
      </c>
      <c r="F7" s="2" t="s">
        <v>18</v>
      </c>
      <c r="G7" s="10">
        <v>88</v>
      </c>
    </row>
    <row r="8" spans="1:26">
      <c r="A8" s="3" t="s">
        <v>19</v>
      </c>
      <c r="B8" s="6">
        <f>AVERAGE('Audit Tracker'!G4:G9)</f>
        <v>0.91999999999999993</v>
      </c>
      <c r="C8" s="3" t="s">
        <v>11</v>
      </c>
      <c r="D8" s="3" t="str">
        <f>IF(B8&gt;=0.9,"On Track","Action Needed")</f>
        <v>On Track</v>
      </c>
      <c r="F8" s="2" t="s">
        <v>20</v>
      </c>
      <c r="G8" s="10">
        <v>87</v>
      </c>
    </row>
    <row r="9" spans="1:26">
      <c r="A9" s="3" t="s">
        <v>21</v>
      </c>
      <c r="B9" s="3">
        <f>COUNTIF('Quality KPI Tracker'!G4:G11,"On Track")</f>
        <v>3</v>
      </c>
      <c r="C9" s="3" t="s">
        <v>22</v>
      </c>
      <c r="D9" s="3" t="str">
        <f>IF(B9&gt;=5,"On Track","Monitor")</f>
        <v>Monitor</v>
      </c>
      <c r="F9" s="2" t="s">
        <v>23</v>
      </c>
      <c r="G9" s="10">
        <v>100</v>
      </c>
    </row>
    <row r="12" spans="1:26">
      <c r="A12" s="1" t="s">
        <v>24</v>
      </c>
      <c r="B12" s="1" t="s">
        <v>25</v>
      </c>
      <c r="D12" s="1" t="s">
        <v>26</v>
      </c>
      <c r="E12" s="1" t="s">
        <v>27</v>
      </c>
      <c r="F12" s="1" t="s">
        <v>28</v>
      </c>
    </row>
    <row r="13" spans="1:26">
      <c r="A13" t="s">
        <v>29</v>
      </c>
      <c r="B13">
        <v>0</v>
      </c>
      <c r="D13" s="2" t="s">
        <v>30</v>
      </c>
      <c r="E13" s="10">
        <v>95</v>
      </c>
      <c r="F13" s="10">
        <v>94</v>
      </c>
    </row>
    <row r="14" spans="1:26">
      <c r="A14" t="s">
        <v>31</v>
      </c>
      <c r="B14">
        <v>6</v>
      </c>
      <c r="D14" s="2" t="s">
        <v>32</v>
      </c>
      <c r="E14" s="10">
        <v>100</v>
      </c>
      <c r="F14" s="10">
        <v>91</v>
      </c>
    </row>
    <row r="15" spans="1:26" ht="27.6">
      <c r="A15" t="s">
        <v>33</v>
      </c>
      <c r="B15">
        <v>2</v>
      </c>
      <c r="D15" s="2" t="s">
        <v>34</v>
      </c>
      <c r="E15" s="10">
        <v>95</v>
      </c>
      <c r="F15" s="10">
        <v>96</v>
      </c>
    </row>
    <row r="16" spans="1:26" ht="27.6">
      <c r="A16" t="s">
        <v>35</v>
      </c>
      <c r="B16">
        <v>0</v>
      </c>
      <c r="D16" s="2" t="s">
        <v>36</v>
      </c>
      <c r="E16" s="10">
        <v>90</v>
      </c>
      <c r="F16" s="10">
        <v>88</v>
      </c>
    </row>
    <row r="17" spans="4:6">
      <c r="D17" s="2" t="s">
        <v>37</v>
      </c>
      <c r="E17" s="10">
        <v>100</v>
      </c>
      <c r="F17" s="10">
        <v>93</v>
      </c>
    </row>
    <row r="18" spans="4:6">
      <c r="D18" s="2" t="s">
        <v>38</v>
      </c>
      <c r="E18" s="10">
        <v>90</v>
      </c>
      <c r="F18" s="10">
        <v>86</v>
      </c>
    </row>
    <row r="19" spans="4:6" ht="27.6">
      <c r="D19" s="2" t="s">
        <v>39</v>
      </c>
      <c r="E19" s="10">
        <v>100</v>
      </c>
      <c r="F19" s="10">
        <v>100</v>
      </c>
    </row>
    <row r="20" spans="4:6">
      <c r="D20" s="2" t="s">
        <v>40</v>
      </c>
      <c r="E20" s="10">
        <v>98</v>
      </c>
      <c r="F20" s="10">
        <v>100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>
      <selection sqref="A1:K1"/>
    </sheetView>
  </sheetViews>
  <sheetFormatPr defaultRowHeight="13.8"/>
  <cols>
    <col min="1" max="1" width="18" customWidth="1"/>
    <col min="2" max="2" width="34" customWidth="1"/>
    <col min="3" max="3" width="25" customWidth="1"/>
    <col min="4" max="4" width="14" customWidth="1"/>
    <col min="5" max="5" width="22" customWidth="1"/>
    <col min="6" max="6" width="16" customWidth="1"/>
    <col min="7" max="7" width="14" customWidth="1"/>
    <col min="8" max="9" width="16" customWidth="1"/>
    <col min="10" max="10" width="28" customWidth="1"/>
    <col min="11" max="11" width="32" customWidth="1"/>
  </cols>
  <sheetData>
    <row r="1" spans="1:26" ht="22.35" customHeight="1">
      <c r="A1" s="11" t="s">
        <v>41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 ht="27.6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</v>
      </c>
      <c r="G3" s="1" t="s">
        <v>24</v>
      </c>
      <c r="H3" s="1" t="s">
        <v>47</v>
      </c>
      <c r="I3" s="1" t="s">
        <v>48</v>
      </c>
      <c r="J3" s="1" t="s">
        <v>49</v>
      </c>
      <c r="K3" s="1" t="s">
        <v>50</v>
      </c>
    </row>
    <row r="4" spans="1:26" ht="27.6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31</v>
      </c>
      <c r="H4" s="4">
        <v>46174</v>
      </c>
      <c r="I4" s="4">
        <v>46204</v>
      </c>
      <c r="J4" s="3" t="s">
        <v>57</v>
      </c>
      <c r="K4" s="3" t="s">
        <v>58</v>
      </c>
    </row>
    <row r="5" spans="1:26" ht="27.6">
      <c r="A5" s="3" t="s">
        <v>51</v>
      </c>
      <c r="B5" s="3" t="s">
        <v>59</v>
      </c>
      <c r="C5" s="3" t="s">
        <v>60</v>
      </c>
      <c r="D5" s="3" t="s">
        <v>54</v>
      </c>
      <c r="E5" s="3" t="s">
        <v>61</v>
      </c>
      <c r="F5" s="3" t="s">
        <v>62</v>
      </c>
      <c r="G5" s="3" t="s">
        <v>33</v>
      </c>
      <c r="H5" s="4">
        <v>46174</v>
      </c>
      <c r="I5" s="4">
        <v>46204</v>
      </c>
      <c r="J5" s="3" t="s">
        <v>63</v>
      </c>
      <c r="K5" s="3" t="s">
        <v>64</v>
      </c>
    </row>
    <row r="6" spans="1:26" ht="27.6">
      <c r="A6" s="3" t="s">
        <v>65</v>
      </c>
      <c r="B6" s="3" t="s">
        <v>66</v>
      </c>
      <c r="C6" s="3" t="s">
        <v>67</v>
      </c>
      <c r="D6" s="3" t="s">
        <v>54</v>
      </c>
      <c r="E6" s="3" t="s">
        <v>68</v>
      </c>
      <c r="F6" s="3" t="s">
        <v>62</v>
      </c>
      <c r="G6" s="3" t="s">
        <v>33</v>
      </c>
      <c r="H6" s="4">
        <v>46175</v>
      </c>
      <c r="I6" s="4">
        <v>46205</v>
      </c>
      <c r="J6" s="3" t="s">
        <v>69</v>
      </c>
      <c r="K6" s="3" t="s">
        <v>70</v>
      </c>
    </row>
    <row r="7" spans="1:26" ht="27.6">
      <c r="A7" s="3" t="s">
        <v>71</v>
      </c>
      <c r="B7" s="3" t="s">
        <v>72</v>
      </c>
      <c r="C7" s="3" t="s">
        <v>73</v>
      </c>
      <c r="D7" s="3" t="s">
        <v>74</v>
      </c>
      <c r="E7" s="3" t="s">
        <v>75</v>
      </c>
      <c r="F7" s="3" t="s">
        <v>56</v>
      </c>
      <c r="G7" s="3" t="s">
        <v>31</v>
      </c>
      <c r="H7" s="4">
        <v>46176</v>
      </c>
      <c r="I7" s="4">
        <v>46183</v>
      </c>
      <c r="J7" s="3" t="s">
        <v>76</v>
      </c>
      <c r="K7" s="3" t="s">
        <v>77</v>
      </c>
    </row>
    <row r="8" spans="1:26">
      <c r="A8" s="3" t="s">
        <v>78</v>
      </c>
      <c r="B8" s="3" t="s">
        <v>79</v>
      </c>
      <c r="C8" s="3" t="s">
        <v>80</v>
      </c>
      <c r="D8" s="3" t="s">
        <v>81</v>
      </c>
      <c r="E8" s="3" t="s">
        <v>82</v>
      </c>
      <c r="F8" s="3" t="s">
        <v>56</v>
      </c>
      <c r="G8" s="3" t="s">
        <v>33</v>
      </c>
      <c r="H8" s="4">
        <v>46177</v>
      </c>
      <c r="I8" s="4">
        <v>46269</v>
      </c>
      <c r="J8" s="3" t="s">
        <v>83</v>
      </c>
      <c r="K8" s="3" t="s">
        <v>84</v>
      </c>
    </row>
    <row r="9" spans="1:26" ht="27.6">
      <c r="A9" s="3" t="s">
        <v>85</v>
      </c>
      <c r="B9" s="3" t="s">
        <v>86</v>
      </c>
      <c r="C9" s="3" t="s">
        <v>87</v>
      </c>
      <c r="D9" s="3" t="s">
        <v>74</v>
      </c>
      <c r="E9" s="3" t="s">
        <v>61</v>
      </c>
      <c r="F9" s="3" t="s">
        <v>88</v>
      </c>
      <c r="G9" s="3" t="s">
        <v>33</v>
      </c>
      <c r="H9" s="4">
        <v>46178</v>
      </c>
      <c r="I9" s="4">
        <v>46185</v>
      </c>
      <c r="J9" s="3" t="s">
        <v>89</v>
      </c>
      <c r="K9" s="3" t="s">
        <v>90</v>
      </c>
    </row>
    <row r="10" spans="1:26" ht="27.6">
      <c r="A10" s="3" t="s">
        <v>91</v>
      </c>
      <c r="B10" s="3" t="s">
        <v>92</v>
      </c>
      <c r="C10" s="3" t="s">
        <v>93</v>
      </c>
      <c r="D10" s="3" t="s">
        <v>54</v>
      </c>
      <c r="E10" s="3" t="s">
        <v>94</v>
      </c>
      <c r="F10" s="3" t="s">
        <v>56</v>
      </c>
      <c r="G10" s="3" t="s">
        <v>31</v>
      </c>
      <c r="H10" s="4">
        <v>46179</v>
      </c>
      <c r="I10" s="4">
        <v>46209</v>
      </c>
      <c r="J10" s="3" t="s">
        <v>95</v>
      </c>
      <c r="K10" s="3" t="s">
        <v>96</v>
      </c>
    </row>
    <row r="11" spans="1:26" ht="27.6">
      <c r="A11" s="3" t="s">
        <v>97</v>
      </c>
      <c r="B11" s="3" t="s">
        <v>98</v>
      </c>
      <c r="C11" s="3" t="s">
        <v>99</v>
      </c>
      <c r="D11" s="3" t="s">
        <v>81</v>
      </c>
      <c r="E11" s="3" t="s">
        <v>100</v>
      </c>
      <c r="F11" s="3" t="s">
        <v>62</v>
      </c>
      <c r="G11" s="3" t="s">
        <v>33</v>
      </c>
      <c r="H11" s="4">
        <v>46180</v>
      </c>
      <c r="I11" s="4">
        <v>46272</v>
      </c>
      <c r="J11" s="3" t="s">
        <v>101</v>
      </c>
      <c r="K11" s="3" t="s">
        <v>102</v>
      </c>
    </row>
    <row r="12" spans="1:26" ht="27.6">
      <c r="A12" s="3" t="s">
        <v>103</v>
      </c>
      <c r="B12" s="3" t="s">
        <v>104</v>
      </c>
      <c r="C12" s="3" t="s">
        <v>105</v>
      </c>
      <c r="D12" s="3" t="s">
        <v>106</v>
      </c>
      <c r="E12" s="3" t="s">
        <v>107</v>
      </c>
      <c r="F12" s="3" t="s">
        <v>56</v>
      </c>
      <c r="G12" s="3" t="s">
        <v>33</v>
      </c>
      <c r="H12" s="4">
        <v>46181</v>
      </c>
      <c r="I12" s="4">
        <v>46182</v>
      </c>
      <c r="J12" s="3" t="s">
        <v>108</v>
      </c>
      <c r="K12" s="3" t="s">
        <v>109</v>
      </c>
    </row>
    <row r="13" spans="1:26">
      <c r="A13" s="3" t="s">
        <v>110</v>
      </c>
      <c r="B13" s="3" t="s">
        <v>111</v>
      </c>
      <c r="C13" s="3" t="s">
        <v>112</v>
      </c>
      <c r="D13" s="3" t="s">
        <v>81</v>
      </c>
      <c r="E13" s="3" t="s">
        <v>94</v>
      </c>
      <c r="F13" s="3" t="s">
        <v>56</v>
      </c>
      <c r="G13" s="3" t="s">
        <v>31</v>
      </c>
      <c r="H13" s="4">
        <v>46182</v>
      </c>
      <c r="I13" s="4">
        <v>46274</v>
      </c>
      <c r="J13" s="3" t="s">
        <v>113</v>
      </c>
      <c r="K13" s="3" t="s">
        <v>114</v>
      </c>
    </row>
    <row r="14" spans="1:26" ht="27.6">
      <c r="A14" s="3" t="s">
        <v>115</v>
      </c>
      <c r="B14" s="3" t="s">
        <v>116</v>
      </c>
      <c r="C14" s="3" t="s">
        <v>117</v>
      </c>
      <c r="D14" s="3" t="s">
        <v>54</v>
      </c>
      <c r="E14" s="3" t="s">
        <v>118</v>
      </c>
      <c r="F14" s="3" t="s">
        <v>62</v>
      </c>
      <c r="G14" s="3" t="s">
        <v>31</v>
      </c>
      <c r="H14" s="4">
        <v>46183</v>
      </c>
      <c r="I14" s="4">
        <v>46213</v>
      </c>
      <c r="J14" s="3" t="s">
        <v>119</v>
      </c>
      <c r="K14" s="3" t="s">
        <v>120</v>
      </c>
    </row>
    <row r="15" spans="1:26" ht="27.6">
      <c r="A15" s="3" t="s">
        <v>121</v>
      </c>
      <c r="B15" s="3" t="s">
        <v>122</v>
      </c>
      <c r="C15" s="3" t="s">
        <v>123</v>
      </c>
      <c r="D15" s="3" t="s">
        <v>54</v>
      </c>
      <c r="E15" s="3" t="s">
        <v>94</v>
      </c>
      <c r="F15" s="3" t="s">
        <v>56</v>
      </c>
      <c r="G15" s="3" t="s">
        <v>31</v>
      </c>
      <c r="H15" s="4">
        <v>46184</v>
      </c>
      <c r="I15" s="4">
        <v>46214</v>
      </c>
      <c r="J15" s="3" t="s">
        <v>124</v>
      </c>
      <c r="K15" s="3" t="s">
        <v>125</v>
      </c>
    </row>
    <row r="16" spans="1:26">
      <c r="H16" s="5"/>
      <c r="I16" s="5"/>
    </row>
    <row r="17" spans="8:9">
      <c r="H17" s="5"/>
      <c r="I17" s="5"/>
    </row>
    <row r="18" spans="8:9">
      <c r="H18" s="5"/>
      <c r="I18" s="5"/>
    </row>
    <row r="19" spans="8:9">
      <c r="H19" s="5"/>
      <c r="I19" s="5"/>
    </row>
    <row r="20" spans="8:9">
      <c r="H20" s="5"/>
      <c r="I20" s="5"/>
    </row>
    <row r="21" spans="8:9">
      <c r="H21" s="5"/>
      <c r="I21" s="5"/>
    </row>
    <row r="22" spans="8:9">
      <c r="H22" s="5"/>
      <c r="I22" s="5"/>
    </row>
    <row r="23" spans="8:9">
      <c r="H23" s="5"/>
      <c r="I23" s="5"/>
    </row>
    <row r="24" spans="8:9">
      <c r="H24" s="5"/>
      <c r="I24" s="5"/>
    </row>
    <row r="25" spans="8:9">
      <c r="H25" s="5"/>
      <c r="I25" s="5"/>
    </row>
    <row r="26" spans="8:9">
      <c r="H26" s="5"/>
      <c r="I26" s="5"/>
    </row>
    <row r="27" spans="8:9">
      <c r="H27" s="5"/>
      <c r="I27" s="5"/>
    </row>
    <row r="28" spans="8:9">
      <c r="H28" s="5"/>
      <c r="I28" s="5"/>
    </row>
    <row r="29" spans="8:9">
      <c r="H29" s="5"/>
      <c r="I29" s="5"/>
    </row>
    <row r="30" spans="8:9">
      <c r="H30" s="5"/>
      <c r="I30" s="5"/>
    </row>
    <row r="31" spans="8:9">
      <c r="H31" s="5"/>
      <c r="I31" s="5"/>
    </row>
    <row r="32" spans="8:9">
      <c r="H32" s="5"/>
      <c r="I32" s="5"/>
    </row>
    <row r="33" spans="8:9">
      <c r="H33" s="5"/>
      <c r="I33" s="5"/>
    </row>
    <row r="34" spans="8:9">
      <c r="H34" s="5"/>
      <c r="I34" s="5"/>
    </row>
    <row r="35" spans="8:9">
      <c r="H35" s="5"/>
      <c r="I35" s="5"/>
    </row>
    <row r="36" spans="8:9">
      <c r="H36" s="5"/>
      <c r="I36" s="5"/>
    </row>
    <row r="37" spans="8:9">
      <c r="H37" s="5"/>
      <c r="I37" s="5"/>
    </row>
    <row r="38" spans="8:9">
      <c r="H38" s="5"/>
      <c r="I38" s="5"/>
    </row>
    <row r="39" spans="8:9">
      <c r="H39" s="5"/>
      <c r="I39" s="5"/>
    </row>
    <row r="40" spans="8:9">
      <c r="H40" s="5"/>
      <c r="I40" s="5"/>
    </row>
    <row r="41" spans="8:9">
      <c r="H41" s="5"/>
      <c r="I41" s="5"/>
    </row>
    <row r="42" spans="8:9">
      <c r="H42" s="5"/>
      <c r="I42" s="5"/>
    </row>
    <row r="43" spans="8:9">
      <c r="H43" s="5"/>
      <c r="I43" s="5"/>
    </row>
    <row r="44" spans="8:9">
      <c r="H44" s="5"/>
      <c r="I44" s="5"/>
    </row>
    <row r="45" spans="8:9">
      <c r="H45" s="5"/>
      <c r="I45" s="5"/>
    </row>
    <row r="46" spans="8:9">
      <c r="H46" s="5"/>
      <c r="I46" s="5"/>
    </row>
    <row r="47" spans="8:9">
      <c r="H47" s="5"/>
      <c r="I47" s="5"/>
    </row>
    <row r="48" spans="8:9">
      <c r="H48" s="5"/>
      <c r="I48" s="5"/>
    </row>
    <row r="49" spans="8:9">
      <c r="H49" s="5"/>
      <c r="I49" s="5"/>
    </row>
    <row r="50" spans="8:9">
      <c r="H50" s="5"/>
      <c r="I50" s="5"/>
    </row>
    <row r="51" spans="8:9">
      <c r="H51" s="5"/>
      <c r="I51" s="5"/>
    </row>
    <row r="52" spans="8:9">
      <c r="H52" s="5"/>
      <c r="I52" s="5"/>
    </row>
    <row r="53" spans="8:9">
      <c r="H53" s="5"/>
      <c r="I53" s="5"/>
    </row>
    <row r="54" spans="8:9">
      <c r="H54" s="5"/>
      <c r="I54" s="5"/>
    </row>
    <row r="55" spans="8:9">
      <c r="H55" s="5"/>
      <c r="I55" s="5"/>
    </row>
    <row r="56" spans="8:9">
      <c r="H56" s="5"/>
      <c r="I56" s="5"/>
    </row>
    <row r="57" spans="8:9">
      <c r="H57" s="5"/>
      <c r="I57" s="5"/>
    </row>
    <row r="58" spans="8:9">
      <c r="H58" s="5"/>
      <c r="I58" s="5"/>
    </row>
    <row r="59" spans="8:9">
      <c r="H59" s="5"/>
      <c r="I59" s="5"/>
    </row>
    <row r="60" spans="8:9">
      <c r="H60" s="5"/>
      <c r="I60" s="5"/>
    </row>
    <row r="61" spans="8:9">
      <c r="H61" s="5"/>
      <c r="I61" s="5"/>
    </row>
    <row r="62" spans="8:9">
      <c r="H62" s="5"/>
      <c r="I62" s="5"/>
    </row>
    <row r="63" spans="8:9">
      <c r="H63" s="5"/>
      <c r="I63" s="5"/>
    </row>
    <row r="64" spans="8:9">
      <c r="H64" s="5"/>
      <c r="I64" s="5"/>
    </row>
    <row r="65" spans="8:9">
      <c r="H65" s="5"/>
      <c r="I65" s="5"/>
    </row>
    <row r="66" spans="8:9">
      <c r="H66" s="5"/>
      <c r="I66" s="5"/>
    </row>
    <row r="67" spans="8:9">
      <c r="H67" s="5"/>
      <c r="I67" s="5"/>
    </row>
    <row r="68" spans="8:9">
      <c r="H68" s="5"/>
      <c r="I68" s="5"/>
    </row>
    <row r="69" spans="8:9">
      <c r="H69" s="5"/>
      <c r="I69" s="5"/>
    </row>
    <row r="70" spans="8:9">
      <c r="H70" s="5"/>
      <c r="I70" s="5"/>
    </row>
    <row r="71" spans="8:9">
      <c r="H71" s="5"/>
      <c r="I71" s="5"/>
    </row>
    <row r="72" spans="8:9">
      <c r="H72" s="5"/>
      <c r="I72" s="5"/>
    </row>
    <row r="73" spans="8:9">
      <c r="H73" s="5"/>
      <c r="I73" s="5"/>
    </row>
    <row r="74" spans="8:9">
      <c r="H74" s="5"/>
      <c r="I74" s="5"/>
    </row>
    <row r="75" spans="8:9">
      <c r="H75" s="5"/>
      <c r="I75" s="5"/>
    </row>
    <row r="76" spans="8:9">
      <c r="H76" s="5"/>
      <c r="I76" s="5"/>
    </row>
    <row r="77" spans="8:9">
      <c r="H77" s="5"/>
      <c r="I77" s="5"/>
    </row>
    <row r="78" spans="8:9">
      <c r="H78" s="5"/>
      <c r="I78" s="5"/>
    </row>
    <row r="79" spans="8:9">
      <c r="H79" s="5"/>
      <c r="I79" s="5"/>
    </row>
    <row r="80" spans="8:9">
      <c r="H80" s="5"/>
      <c r="I80" s="5"/>
    </row>
    <row r="81" spans="8:9">
      <c r="H81" s="5"/>
      <c r="I81" s="5"/>
    </row>
    <row r="82" spans="8:9">
      <c r="H82" s="5"/>
      <c r="I82" s="5"/>
    </row>
    <row r="83" spans="8:9">
      <c r="H83" s="5"/>
      <c r="I83" s="5"/>
    </row>
    <row r="84" spans="8:9">
      <c r="H84" s="5"/>
      <c r="I84" s="5"/>
    </row>
    <row r="85" spans="8:9">
      <c r="H85" s="5"/>
      <c r="I85" s="5"/>
    </row>
    <row r="86" spans="8:9">
      <c r="H86" s="5"/>
      <c r="I86" s="5"/>
    </row>
    <row r="87" spans="8:9">
      <c r="H87" s="5"/>
      <c r="I87" s="5"/>
    </row>
    <row r="88" spans="8:9">
      <c r="H88" s="5"/>
      <c r="I88" s="5"/>
    </row>
    <row r="89" spans="8:9">
      <c r="H89" s="5"/>
      <c r="I89" s="5"/>
    </row>
    <row r="90" spans="8:9">
      <c r="H90" s="5"/>
      <c r="I90" s="5"/>
    </row>
    <row r="91" spans="8:9">
      <c r="H91" s="5"/>
      <c r="I91" s="5"/>
    </row>
    <row r="92" spans="8:9">
      <c r="H92" s="5"/>
      <c r="I92" s="5"/>
    </row>
    <row r="93" spans="8:9">
      <c r="H93" s="5"/>
      <c r="I93" s="5"/>
    </row>
    <row r="94" spans="8:9">
      <c r="H94" s="5"/>
      <c r="I94" s="5"/>
    </row>
    <row r="95" spans="8:9">
      <c r="H95" s="5"/>
      <c r="I95" s="5"/>
    </row>
    <row r="96" spans="8:9">
      <c r="H96" s="5"/>
      <c r="I96" s="5"/>
    </row>
    <row r="97" spans="8:9">
      <c r="H97" s="5"/>
      <c r="I97" s="5"/>
    </row>
    <row r="98" spans="8:9">
      <c r="H98" s="5"/>
      <c r="I98" s="5"/>
    </row>
    <row r="99" spans="8:9">
      <c r="H99" s="5"/>
      <c r="I99" s="5"/>
    </row>
    <row r="100" spans="8:9">
      <c r="H100" s="5"/>
      <c r="I100" s="5"/>
    </row>
  </sheetData>
  <mergeCells count="1">
    <mergeCell ref="A1:K1"/>
  </mergeCells>
  <conditionalFormatting sqref="F4:F15">
    <cfRule type="expression" dxfId="7" priority="1">
      <formula>F4="Non-Compliant"</formula>
    </cfRule>
    <cfRule type="expression" dxfId="6" priority="2">
      <formula>F4="Partial"</formula>
    </cfRule>
    <cfRule type="expression" dxfId="5" priority="3">
      <formula>F4="Compliant"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'Validation Lists'!$C$2:$C$7</xm:f>
          </x14:formula1>
          <xm:sqref>D4:D100</xm:sqref>
        </x14:dataValidation>
        <x14:dataValidation type="list" xr:uid="{00000000-0002-0000-0100-000001000000}">
          <x14:formula1>
            <xm:f>'Validation Lists'!$A$2:$A$8</xm:f>
          </x14:formula1>
          <xm:sqref>F4:F100</xm:sqref>
        </x14:dataValidation>
        <x14:dataValidation type="list" xr:uid="{00000000-0002-0000-0100-000002000000}">
          <x14:formula1>
            <xm:f>'Validation Lists'!$B$2:$B$5</xm:f>
          </x14:formula1>
          <xm:sqref>G4:G100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>
      <selection sqref="A1:L1"/>
    </sheetView>
  </sheetViews>
  <sheetFormatPr defaultRowHeight="13.8"/>
  <cols>
    <col min="1" max="1" width="12" customWidth="1"/>
    <col min="2" max="2" width="22" customWidth="1"/>
    <col min="3" max="3" width="38" customWidth="1"/>
    <col min="4" max="6" width="12" customWidth="1"/>
    <col min="7" max="7" width="13" customWidth="1"/>
    <col min="8" max="8" width="38" customWidth="1"/>
    <col min="9" max="9" width="22" customWidth="1"/>
    <col min="10" max="12" width="14" customWidth="1"/>
  </cols>
  <sheetData>
    <row r="1" spans="1:26" ht="21">
      <c r="A1" s="11" t="s">
        <v>126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>
      <c r="A3" s="1" t="s">
        <v>127</v>
      </c>
      <c r="B3" s="1" t="s">
        <v>128</v>
      </c>
      <c r="C3" s="1" t="s">
        <v>129</v>
      </c>
      <c r="D3" s="1" t="s">
        <v>130</v>
      </c>
      <c r="E3" s="1" t="s">
        <v>131</v>
      </c>
      <c r="F3" s="1" t="s">
        <v>132</v>
      </c>
      <c r="G3" s="1" t="s">
        <v>24</v>
      </c>
      <c r="H3" s="1" t="s">
        <v>133</v>
      </c>
      <c r="I3" s="1" t="s">
        <v>46</v>
      </c>
      <c r="J3" s="1" t="s">
        <v>134</v>
      </c>
      <c r="K3" s="1" t="s">
        <v>4</v>
      </c>
      <c r="L3" s="1" t="s">
        <v>135</v>
      </c>
    </row>
    <row r="4" spans="1:26" ht="27.6">
      <c r="A4" s="3" t="s">
        <v>136</v>
      </c>
      <c r="B4" s="3" t="s">
        <v>51</v>
      </c>
      <c r="C4" s="3" t="s">
        <v>137</v>
      </c>
      <c r="D4" s="3">
        <v>3</v>
      </c>
      <c r="E4" s="3">
        <v>4</v>
      </c>
      <c r="F4" s="3">
        <f t="shared" ref="F4:F11" si="0">D4*E4</f>
        <v>12</v>
      </c>
      <c r="G4" s="3" t="str">
        <f t="shared" ref="G4:G11" si="1">IF(F4&gt;=20,"Critical",IF(F4&gt;=12,"High",IF(F4&gt;=6,"Medium","Low")))</f>
        <v>High</v>
      </c>
      <c r="H4" s="3" t="s">
        <v>138</v>
      </c>
      <c r="I4" s="3" t="s">
        <v>55</v>
      </c>
      <c r="J4" s="4">
        <v>46188</v>
      </c>
      <c r="K4" s="3" t="s">
        <v>139</v>
      </c>
      <c r="L4" s="3" t="s">
        <v>31</v>
      </c>
    </row>
    <row r="5" spans="1:26">
      <c r="A5" s="3" t="s">
        <v>140</v>
      </c>
      <c r="B5" s="3" t="s">
        <v>65</v>
      </c>
      <c r="C5" s="3" t="s">
        <v>141</v>
      </c>
      <c r="D5" s="3">
        <v>3</v>
      </c>
      <c r="E5" s="3">
        <v>5</v>
      </c>
      <c r="F5" s="3">
        <f t="shared" si="0"/>
        <v>15</v>
      </c>
      <c r="G5" s="3" t="str">
        <f t="shared" si="1"/>
        <v>High</v>
      </c>
      <c r="H5" s="3" t="s">
        <v>142</v>
      </c>
      <c r="I5" s="3" t="s">
        <v>68</v>
      </c>
      <c r="J5" s="4">
        <v>46188</v>
      </c>
      <c r="K5" s="3" t="s">
        <v>143</v>
      </c>
      <c r="L5" s="3" t="s">
        <v>33</v>
      </c>
    </row>
    <row r="6" spans="1:26" ht="27.6">
      <c r="A6" s="3" t="s">
        <v>144</v>
      </c>
      <c r="B6" s="3" t="s">
        <v>78</v>
      </c>
      <c r="C6" s="3" t="s">
        <v>145</v>
      </c>
      <c r="D6" s="3">
        <v>2</v>
      </c>
      <c r="E6" s="3">
        <v>5</v>
      </c>
      <c r="F6" s="3">
        <f t="shared" si="0"/>
        <v>10</v>
      </c>
      <c r="G6" s="3" t="str">
        <f t="shared" si="1"/>
        <v>Medium</v>
      </c>
      <c r="H6" s="3" t="s">
        <v>146</v>
      </c>
      <c r="I6" s="3" t="s">
        <v>82</v>
      </c>
      <c r="J6" s="4">
        <v>46193</v>
      </c>
      <c r="K6" s="3" t="s">
        <v>139</v>
      </c>
      <c r="L6" s="3" t="s">
        <v>33</v>
      </c>
    </row>
    <row r="7" spans="1:26" ht="27.6">
      <c r="A7" s="3" t="s">
        <v>147</v>
      </c>
      <c r="B7" s="3" t="s">
        <v>91</v>
      </c>
      <c r="C7" s="3" t="s">
        <v>148</v>
      </c>
      <c r="D7" s="3">
        <v>2</v>
      </c>
      <c r="E7" s="3">
        <v>4</v>
      </c>
      <c r="F7" s="3">
        <f t="shared" si="0"/>
        <v>8</v>
      </c>
      <c r="G7" s="3" t="str">
        <f t="shared" si="1"/>
        <v>Medium</v>
      </c>
      <c r="H7" s="3" t="s">
        <v>149</v>
      </c>
      <c r="I7" s="3" t="s">
        <v>94</v>
      </c>
      <c r="J7" s="4">
        <v>46191</v>
      </c>
      <c r="K7" s="3" t="s">
        <v>143</v>
      </c>
      <c r="L7" s="3" t="s">
        <v>31</v>
      </c>
    </row>
    <row r="8" spans="1:26" ht="27.6">
      <c r="A8" s="3" t="s">
        <v>150</v>
      </c>
      <c r="B8" s="3" t="s">
        <v>97</v>
      </c>
      <c r="C8" s="3" t="s">
        <v>151</v>
      </c>
      <c r="D8" s="3">
        <v>2</v>
      </c>
      <c r="E8" s="3">
        <v>5</v>
      </c>
      <c r="F8" s="3">
        <f t="shared" si="0"/>
        <v>10</v>
      </c>
      <c r="G8" s="3" t="str">
        <f t="shared" si="1"/>
        <v>Medium</v>
      </c>
      <c r="H8" s="3" t="s">
        <v>152</v>
      </c>
      <c r="I8" s="3" t="s">
        <v>100</v>
      </c>
      <c r="J8" s="4">
        <v>46195</v>
      </c>
      <c r="K8" s="3" t="s">
        <v>139</v>
      </c>
      <c r="L8" s="3" t="s">
        <v>33</v>
      </c>
    </row>
    <row r="9" spans="1:26" ht="27.6">
      <c r="A9" s="3" t="s">
        <v>153</v>
      </c>
      <c r="B9" s="3" t="s">
        <v>71</v>
      </c>
      <c r="C9" s="3" t="s">
        <v>154</v>
      </c>
      <c r="D9" s="3">
        <v>3</v>
      </c>
      <c r="E9" s="3">
        <v>3</v>
      </c>
      <c r="F9" s="3">
        <f t="shared" si="0"/>
        <v>9</v>
      </c>
      <c r="G9" s="3" t="str">
        <f t="shared" si="1"/>
        <v>Medium</v>
      </c>
      <c r="H9" s="3" t="s">
        <v>155</v>
      </c>
      <c r="I9" s="3" t="s">
        <v>75</v>
      </c>
      <c r="J9" s="4">
        <v>46190</v>
      </c>
      <c r="K9" s="3" t="s">
        <v>156</v>
      </c>
      <c r="L9" s="3" t="s">
        <v>29</v>
      </c>
    </row>
    <row r="10" spans="1:26" ht="27.6">
      <c r="A10" s="3" t="s">
        <v>157</v>
      </c>
      <c r="B10" s="3" t="s">
        <v>85</v>
      </c>
      <c r="C10" s="3" t="s">
        <v>158</v>
      </c>
      <c r="D10" s="3">
        <v>2</v>
      </c>
      <c r="E10" s="3">
        <v>4</v>
      </c>
      <c r="F10" s="3">
        <f t="shared" si="0"/>
        <v>8</v>
      </c>
      <c r="G10" s="3" t="str">
        <f t="shared" si="1"/>
        <v>Medium</v>
      </c>
      <c r="H10" s="3" t="s">
        <v>159</v>
      </c>
      <c r="I10" s="3" t="s">
        <v>61</v>
      </c>
      <c r="J10" s="4">
        <v>46192</v>
      </c>
      <c r="K10" s="3" t="s">
        <v>143</v>
      </c>
      <c r="L10" s="3" t="s">
        <v>31</v>
      </c>
    </row>
    <row r="11" spans="1:26">
      <c r="A11" s="3" t="s">
        <v>160</v>
      </c>
      <c r="B11" s="3" t="s">
        <v>110</v>
      </c>
      <c r="C11" s="3" t="s">
        <v>161</v>
      </c>
      <c r="D11" s="3">
        <v>2</v>
      </c>
      <c r="E11" s="3">
        <v>4</v>
      </c>
      <c r="F11" s="3">
        <f t="shared" si="0"/>
        <v>8</v>
      </c>
      <c r="G11" s="3" t="str">
        <f t="shared" si="1"/>
        <v>Medium</v>
      </c>
      <c r="H11" s="3" t="s">
        <v>162</v>
      </c>
      <c r="I11" s="3" t="s">
        <v>94</v>
      </c>
      <c r="J11" s="4">
        <v>46194</v>
      </c>
      <c r="K11" s="3" t="s">
        <v>156</v>
      </c>
      <c r="L11" s="3" t="s">
        <v>29</v>
      </c>
    </row>
    <row r="12" spans="1:26">
      <c r="J12" s="5"/>
    </row>
    <row r="13" spans="1:26">
      <c r="J13" s="5"/>
    </row>
    <row r="14" spans="1:26">
      <c r="J14" s="5"/>
    </row>
    <row r="15" spans="1:26">
      <c r="J15" s="5"/>
    </row>
    <row r="16" spans="1:26">
      <c r="J16" s="5"/>
    </row>
    <row r="17" spans="10:10">
      <c r="J17" s="5"/>
    </row>
    <row r="18" spans="10:10">
      <c r="J18" s="5"/>
    </row>
    <row r="19" spans="10:10">
      <c r="J19" s="5"/>
    </row>
    <row r="20" spans="10:10">
      <c r="J20" s="5"/>
    </row>
    <row r="21" spans="10:10">
      <c r="J21" s="5"/>
    </row>
    <row r="22" spans="10:10">
      <c r="J22" s="5"/>
    </row>
    <row r="23" spans="10:10">
      <c r="J23" s="5"/>
    </row>
    <row r="24" spans="10:10">
      <c r="J24" s="5"/>
    </row>
    <row r="25" spans="10:10">
      <c r="J25" s="5"/>
    </row>
    <row r="26" spans="10:10">
      <c r="J26" s="5"/>
    </row>
    <row r="27" spans="10:10">
      <c r="J27" s="5"/>
    </row>
    <row r="28" spans="10:10">
      <c r="J28" s="5"/>
    </row>
    <row r="29" spans="10:10">
      <c r="J29" s="5"/>
    </row>
    <row r="30" spans="10:10">
      <c r="J30" s="5"/>
    </row>
    <row r="31" spans="10:10">
      <c r="J31" s="5"/>
    </row>
    <row r="32" spans="10:10">
      <c r="J32" s="5"/>
    </row>
    <row r="33" spans="10:10">
      <c r="J33" s="5"/>
    </row>
    <row r="34" spans="10:10">
      <c r="J34" s="5"/>
    </row>
    <row r="35" spans="10:10">
      <c r="J35" s="5"/>
    </row>
    <row r="36" spans="10:10">
      <c r="J36" s="5"/>
    </row>
    <row r="37" spans="10:10">
      <c r="J37" s="5"/>
    </row>
    <row r="38" spans="10:10">
      <c r="J38" s="5"/>
    </row>
    <row r="39" spans="10:10">
      <c r="J39" s="5"/>
    </row>
    <row r="40" spans="10:10">
      <c r="J40" s="5"/>
    </row>
    <row r="41" spans="10:10">
      <c r="J41" s="5"/>
    </row>
    <row r="42" spans="10:10">
      <c r="J42" s="5"/>
    </row>
    <row r="43" spans="10:10">
      <c r="J43" s="5"/>
    </row>
    <row r="44" spans="10:10">
      <c r="J44" s="5"/>
    </row>
    <row r="45" spans="10:10">
      <c r="J45" s="5"/>
    </row>
    <row r="46" spans="10:10">
      <c r="J46" s="5"/>
    </row>
    <row r="47" spans="10:10">
      <c r="J47" s="5"/>
    </row>
    <row r="48" spans="10:10">
      <c r="J48" s="5"/>
    </row>
    <row r="49" spans="10:10">
      <c r="J49" s="5"/>
    </row>
    <row r="50" spans="10:10">
      <c r="J50" s="5"/>
    </row>
    <row r="51" spans="10:10">
      <c r="J51" s="5"/>
    </row>
    <row r="52" spans="10:10">
      <c r="J52" s="5"/>
    </row>
    <row r="53" spans="10:10">
      <c r="J53" s="5"/>
    </row>
    <row r="54" spans="10:10">
      <c r="J54" s="5"/>
    </row>
    <row r="55" spans="10:10">
      <c r="J55" s="5"/>
    </row>
    <row r="56" spans="10:10">
      <c r="J56" s="5"/>
    </row>
    <row r="57" spans="10:10">
      <c r="J57" s="5"/>
    </row>
    <row r="58" spans="10:10">
      <c r="J58" s="5"/>
    </row>
    <row r="59" spans="10:10">
      <c r="J59" s="5"/>
    </row>
    <row r="60" spans="10:10">
      <c r="J60" s="5"/>
    </row>
    <row r="61" spans="10:10">
      <c r="J61" s="5"/>
    </row>
    <row r="62" spans="10:10">
      <c r="J62" s="5"/>
    </row>
    <row r="63" spans="10:10">
      <c r="J63" s="5"/>
    </row>
    <row r="64" spans="10:10">
      <c r="J64" s="5"/>
    </row>
    <row r="65" spans="10:10">
      <c r="J65" s="5"/>
    </row>
    <row r="66" spans="10:10">
      <c r="J66" s="5"/>
    </row>
    <row r="67" spans="10:10">
      <c r="J67" s="5"/>
    </row>
    <row r="68" spans="10:10">
      <c r="J68" s="5"/>
    </row>
    <row r="69" spans="10:10">
      <c r="J69" s="5"/>
    </row>
    <row r="70" spans="10:10">
      <c r="J70" s="5"/>
    </row>
    <row r="71" spans="10:10">
      <c r="J71" s="5"/>
    </row>
    <row r="72" spans="10:10">
      <c r="J72" s="5"/>
    </row>
    <row r="73" spans="10:10">
      <c r="J73" s="5"/>
    </row>
    <row r="74" spans="10:10">
      <c r="J74" s="5"/>
    </row>
    <row r="75" spans="10:10">
      <c r="J75" s="5"/>
    </row>
    <row r="76" spans="10:10">
      <c r="J76" s="5"/>
    </row>
    <row r="77" spans="10:10">
      <c r="J77" s="5"/>
    </row>
    <row r="78" spans="10:10">
      <c r="J78" s="5"/>
    </row>
    <row r="79" spans="10:10">
      <c r="J79" s="5"/>
    </row>
    <row r="80" spans="10:10">
      <c r="J80" s="5"/>
    </row>
    <row r="81" spans="10:10">
      <c r="J81" s="5"/>
    </row>
    <row r="82" spans="10:10">
      <c r="J82" s="5"/>
    </row>
    <row r="83" spans="10:10">
      <c r="J83" s="5"/>
    </row>
    <row r="84" spans="10:10">
      <c r="J84" s="5"/>
    </row>
    <row r="85" spans="10:10">
      <c r="J85" s="5"/>
    </row>
    <row r="86" spans="10:10">
      <c r="J86" s="5"/>
    </row>
    <row r="87" spans="10:10">
      <c r="J87" s="5"/>
    </row>
    <row r="88" spans="10:10">
      <c r="J88" s="5"/>
    </row>
    <row r="89" spans="10:10">
      <c r="J89" s="5"/>
    </row>
    <row r="90" spans="10:10">
      <c r="J90" s="5"/>
    </row>
    <row r="91" spans="10:10">
      <c r="J91" s="5"/>
    </row>
    <row r="92" spans="10:10">
      <c r="J92" s="5"/>
    </row>
    <row r="93" spans="10:10">
      <c r="J93" s="5"/>
    </row>
    <row r="94" spans="10:10">
      <c r="J94" s="5"/>
    </row>
    <row r="95" spans="10:10">
      <c r="J95" s="5"/>
    </row>
    <row r="96" spans="10:10">
      <c r="J96" s="5"/>
    </row>
    <row r="97" spans="10:10">
      <c r="J97" s="5"/>
    </row>
    <row r="98" spans="10:10">
      <c r="J98" s="5"/>
    </row>
    <row r="99" spans="10:10">
      <c r="J99" s="5"/>
    </row>
    <row r="100" spans="10:10">
      <c r="J100" s="5"/>
    </row>
  </sheetData>
  <mergeCells count="1">
    <mergeCell ref="A1:L1"/>
  </mergeCells>
  <conditionalFormatting sqref="G4:G11">
    <cfRule type="expression" dxfId="4" priority="1">
      <formula>G4="High"</formula>
    </cfRule>
    <cfRule type="expression" dxfId="3" priority="2">
      <formula>G4="Critical"</formula>
    </cfRule>
  </conditionalFormatting>
  <dataValidations count="1">
    <dataValidation type="list" sqref="K4:K100" xr:uid="{00000000-0002-0000-0200-000001000000}">
      <formula1>"Open,In Progress,Closed"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'Validation Lists'!$D$2:$D$6</xm:f>
          </x14:formula1>
          <xm:sqref>D4:E100</xm:sqref>
        </x14:dataValidation>
        <x14:dataValidation type="list" xr:uid="{00000000-0002-0000-0200-000002000000}">
          <x14:formula1>
            <xm:f>'Validation Lists'!$B$2:$B$5</xm:f>
          </x14:formula1>
          <xm:sqref>L4:L100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>
      <selection sqref="A1:K1"/>
    </sheetView>
  </sheetViews>
  <sheetFormatPr defaultRowHeight="13.8"/>
  <cols>
    <col min="1" max="1" width="12" customWidth="1"/>
    <col min="2" max="2" width="24" customWidth="1"/>
    <col min="3" max="3" width="20" customWidth="1"/>
    <col min="4" max="4" width="14" customWidth="1"/>
    <col min="5" max="6" width="12" customWidth="1"/>
    <col min="7" max="7" width="14" customWidth="1"/>
    <col min="8" max="8" width="22" customWidth="1"/>
    <col min="9" max="10" width="14" customWidth="1"/>
    <col min="11" max="11" width="34" customWidth="1"/>
  </cols>
  <sheetData>
    <row r="1" spans="1:26" ht="21">
      <c r="A1" s="11" t="s">
        <v>163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>
      <c r="A3" s="1" t="s">
        <v>164</v>
      </c>
      <c r="B3" s="1" t="s">
        <v>5</v>
      </c>
      <c r="C3" s="1" t="s">
        <v>165</v>
      </c>
      <c r="D3" s="1" t="s">
        <v>166</v>
      </c>
      <c r="E3" s="1" t="s">
        <v>167</v>
      </c>
      <c r="F3" s="1" t="s">
        <v>168</v>
      </c>
      <c r="G3" s="1" t="s">
        <v>169</v>
      </c>
      <c r="H3" s="1" t="s">
        <v>170</v>
      </c>
      <c r="I3" s="1" t="s">
        <v>4</v>
      </c>
      <c r="J3" s="1" t="s">
        <v>171</v>
      </c>
      <c r="K3" s="1" t="s">
        <v>50</v>
      </c>
    </row>
    <row r="4" spans="1:26">
      <c r="A4" s="3" t="s">
        <v>172</v>
      </c>
      <c r="B4" s="3" t="s">
        <v>9</v>
      </c>
      <c r="C4" s="3" t="s">
        <v>173</v>
      </c>
      <c r="D4" s="4">
        <v>46174</v>
      </c>
      <c r="E4" s="3">
        <v>25</v>
      </c>
      <c r="F4" s="3">
        <v>2</v>
      </c>
      <c r="G4" s="6">
        <v>0.92</v>
      </c>
      <c r="H4" s="3" t="s">
        <v>94</v>
      </c>
      <c r="I4" s="3" t="s">
        <v>156</v>
      </c>
      <c r="J4" s="4">
        <v>46204</v>
      </c>
      <c r="K4" s="3" t="s">
        <v>174</v>
      </c>
    </row>
    <row r="5" spans="1:26">
      <c r="A5" s="3" t="s">
        <v>175</v>
      </c>
      <c r="B5" s="3" t="s">
        <v>12</v>
      </c>
      <c r="C5" s="3" t="s">
        <v>176</v>
      </c>
      <c r="D5" s="4">
        <v>46175</v>
      </c>
      <c r="E5" s="3">
        <v>20</v>
      </c>
      <c r="F5" s="3">
        <v>3</v>
      </c>
      <c r="G5" s="6">
        <v>0.85</v>
      </c>
      <c r="H5" s="3" t="s">
        <v>68</v>
      </c>
      <c r="I5" s="3" t="s">
        <v>139</v>
      </c>
      <c r="J5" s="4">
        <v>46205</v>
      </c>
      <c r="K5" s="3" t="s">
        <v>177</v>
      </c>
    </row>
    <row r="6" spans="1:26">
      <c r="A6" s="3" t="s">
        <v>178</v>
      </c>
      <c r="B6" s="3" t="s">
        <v>15</v>
      </c>
      <c r="C6" s="3" t="s">
        <v>179</v>
      </c>
      <c r="D6" s="4">
        <v>46177</v>
      </c>
      <c r="E6" s="3">
        <v>12</v>
      </c>
      <c r="F6" s="3">
        <v>0</v>
      </c>
      <c r="G6" s="6">
        <v>1</v>
      </c>
      <c r="H6" s="3" t="s">
        <v>82</v>
      </c>
      <c r="I6" s="3" t="s">
        <v>156</v>
      </c>
      <c r="J6" s="4">
        <v>46269</v>
      </c>
      <c r="K6" s="3" t="s">
        <v>180</v>
      </c>
    </row>
    <row r="7" spans="1:26">
      <c r="A7" s="3" t="s">
        <v>181</v>
      </c>
      <c r="B7" s="3" t="s">
        <v>18</v>
      </c>
      <c r="C7" s="3" t="s">
        <v>182</v>
      </c>
      <c r="D7" s="4">
        <v>46179</v>
      </c>
      <c r="E7" s="3">
        <v>8</v>
      </c>
      <c r="F7" s="3">
        <v>1</v>
      </c>
      <c r="G7" s="6">
        <v>0.88</v>
      </c>
      <c r="H7" s="3" t="s">
        <v>94</v>
      </c>
      <c r="I7" s="3" t="s">
        <v>156</v>
      </c>
      <c r="J7" s="4">
        <v>46209</v>
      </c>
      <c r="K7" s="3" t="s">
        <v>183</v>
      </c>
    </row>
    <row r="8" spans="1:26">
      <c r="A8" s="3" t="s">
        <v>184</v>
      </c>
      <c r="B8" s="3" t="s">
        <v>20</v>
      </c>
      <c r="C8" s="3" t="s">
        <v>185</v>
      </c>
      <c r="D8" s="4">
        <v>46180</v>
      </c>
      <c r="E8" s="3">
        <v>15</v>
      </c>
      <c r="F8" s="3">
        <v>2</v>
      </c>
      <c r="G8" s="6">
        <v>0.87</v>
      </c>
      <c r="H8" s="3" t="s">
        <v>100</v>
      </c>
      <c r="I8" s="3" t="s">
        <v>139</v>
      </c>
      <c r="J8" s="4">
        <v>46272</v>
      </c>
      <c r="K8" s="3" t="s">
        <v>186</v>
      </c>
    </row>
    <row r="9" spans="1:26">
      <c r="A9" s="3" t="s">
        <v>187</v>
      </c>
      <c r="B9" s="3" t="s">
        <v>23</v>
      </c>
      <c r="C9" s="3" t="s">
        <v>188</v>
      </c>
      <c r="D9" s="4">
        <v>46181</v>
      </c>
      <c r="E9" s="3">
        <v>30</v>
      </c>
      <c r="F9" s="3">
        <v>0</v>
      </c>
      <c r="G9" s="6">
        <v>1</v>
      </c>
      <c r="H9" s="3" t="s">
        <v>107</v>
      </c>
      <c r="I9" s="3" t="s">
        <v>156</v>
      </c>
      <c r="J9" s="4">
        <v>46211</v>
      </c>
      <c r="K9" s="3" t="s">
        <v>189</v>
      </c>
    </row>
    <row r="10" spans="1:26">
      <c r="D10" s="5"/>
      <c r="G10" s="7"/>
      <c r="J10" s="5"/>
    </row>
    <row r="11" spans="1:26">
      <c r="D11" s="5"/>
      <c r="G11" s="7"/>
      <c r="J11" s="5"/>
    </row>
    <row r="12" spans="1:26">
      <c r="D12" s="5"/>
      <c r="G12" s="7"/>
      <c r="J12" s="5"/>
    </row>
    <row r="13" spans="1:26">
      <c r="D13" s="5"/>
      <c r="G13" s="7"/>
      <c r="J13" s="5"/>
    </row>
    <row r="14" spans="1:26">
      <c r="D14" s="5"/>
      <c r="G14" s="7"/>
      <c r="J14" s="5"/>
    </row>
    <row r="15" spans="1:26">
      <c r="D15" s="5"/>
      <c r="G15" s="7"/>
      <c r="J15" s="5"/>
    </row>
    <row r="16" spans="1:26">
      <c r="D16" s="5"/>
      <c r="G16" s="7"/>
      <c r="J16" s="5"/>
    </row>
    <row r="17" spans="4:10">
      <c r="D17" s="5"/>
      <c r="G17" s="7"/>
      <c r="J17" s="5"/>
    </row>
    <row r="18" spans="4:10">
      <c r="D18" s="5"/>
      <c r="G18" s="7"/>
      <c r="J18" s="5"/>
    </row>
    <row r="19" spans="4:10">
      <c r="D19" s="5"/>
      <c r="G19" s="7"/>
      <c r="J19" s="5"/>
    </row>
    <row r="20" spans="4:10">
      <c r="D20" s="5"/>
      <c r="G20" s="7"/>
      <c r="J20" s="5"/>
    </row>
    <row r="21" spans="4:10">
      <c r="D21" s="5"/>
      <c r="G21" s="7"/>
      <c r="J21" s="5"/>
    </row>
    <row r="22" spans="4:10">
      <c r="D22" s="5"/>
      <c r="G22" s="7"/>
      <c r="J22" s="5"/>
    </row>
    <row r="23" spans="4:10">
      <c r="D23" s="5"/>
      <c r="G23" s="7"/>
      <c r="J23" s="5"/>
    </row>
    <row r="24" spans="4:10">
      <c r="D24" s="5"/>
      <c r="G24" s="7"/>
      <c r="J24" s="5"/>
    </row>
    <row r="25" spans="4:10">
      <c r="D25" s="5"/>
      <c r="G25" s="7"/>
      <c r="J25" s="5"/>
    </row>
    <row r="26" spans="4:10">
      <c r="D26" s="5"/>
      <c r="G26" s="7"/>
      <c r="J26" s="5"/>
    </row>
    <row r="27" spans="4:10">
      <c r="D27" s="5"/>
      <c r="G27" s="7"/>
      <c r="J27" s="5"/>
    </row>
    <row r="28" spans="4:10">
      <c r="D28" s="5"/>
      <c r="G28" s="7"/>
      <c r="J28" s="5"/>
    </row>
    <row r="29" spans="4:10">
      <c r="D29" s="5"/>
      <c r="G29" s="7"/>
      <c r="J29" s="5"/>
    </row>
    <row r="30" spans="4:10">
      <c r="D30" s="5"/>
      <c r="G30" s="7"/>
      <c r="J30" s="5"/>
    </row>
    <row r="31" spans="4:10">
      <c r="D31" s="5"/>
      <c r="G31" s="7"/>
      <c r="J31" s="5"/>
    </row>
    <row r="32" spans="4:10">
      <c r="D32" s="5"/>
      <c r="G32" s="7"/>
      <c r="J32" s="5"/>
    </row>
    <row r="33" spans="4:10">
      <c r="D33" s="5"/>
      <c r="G33" s="7"/>
      <c r="J33" s="5"/>
    </row>
    <row r="34" spans="4:10">
      <c r="D34" s="5"/>
      <c r="G34" s="7"/>
      <c r="J34" s="5"/>
    </row>
    <row r="35" spans="4:10">
      <c r="D35" s="5"/>
      <c r="G35" s="7"/>
      <c r="J35" s="5"/>
    </row>
    <row r="36" spans="4:10">
      <c r="D36" s="5"/>
      <c r="G36" s="7"/>
      <c r="J36" s="5"/>
    </row>
    <row r="37" spans="4:10">
      <c r="D37" s="5"/>
      <c r="G37" s="7"/>
      <c r="J37" s="5"/>
    </row>
    <row r="38" spans="4:10">
      <c r="D38" s="5"/>
      <c r="G38" s="7"/>
      <c r="J38" s="5"/>
    </row>
    <row r="39" spans="4:10">
      <c r="D39" s="5"/>
      <c r="G39" s="7"/>
      <c r="J39" s="5"/>
    </row>
    <row r="40" spans="4:10">
      <c r="D40" s="5"/>
      <c r="G40" s="7"/>
      <c r="J40" s="5"/>
    </row>
    <row r="41" spans="4:10">
      <c r="D41" s="5"/>
      <c r="G41" s="7"/>
      <c r="J41" s="5"/>
    </row>
    <row r="42" spans="4:10">
      <c r="D42" s="5"/>
      <c r="G42" s="7"/>
      <c r="J42" s="5"/>
    </row>
    <row r="43" spans="4:10">
      <c r="D43" s="5"/>
      <c r="G43" s="7"/>
      <c r="J43" s="5"/>
    </row>
    <row r="44" spans="4:10">
      <c r="D44" s="5"/>
      <c r="G44" s="7"/>
      <c r="J44" s="5"/>
    </row>
    <row r="45" spans="4:10">
      <c r="D45" s="5"/>
      <c r="G45" s="7"/>
      <c r="J45" s="5"/>
    </row>
    <row r="46" spans="4:10">
      <c r="D46" s="5"/>
      <c r="G46" s="7"/>
      <c r="J46" s="5"/>
    </row>
    <row r="47" spans="4:10">
      <c r="D47" s="5"/>
      <c r="G47" s="7"/>
      <c r="J47" s="5"/>
    </row>
    <row r="48" spans="4:10">
      <c r="D48" s="5"/>
      <c r="G48" s="7"/>
      <c r="J48" s="5"/>
    </row>
    <row r="49" spans="4:10">
      <c r="D49" s="5"/>
      <c r="G49" s="7"/>
      <c r="J49" s="5"/>
    </row>
    <row r="50" spans="4:10">
      <c r="D50" s="5"/>
      <c r="G50" s="7"/>
      <c r="J50" s="5"/>
    </row>
    <row r="51" spans="4:10">
      <c r="D51" s="5"/>
      <c r="G51" s="7"/>
      <c r="J51" s="5"/>
    </row>
    <row r="52" spans="4:10">
      <c r="D52" s="5"/>
      <c r="G52" s="7"/>
      <c r="J52" s="5"/>
    </row>
    <row r="53" spans="4:10">
      <c r="D53" s="5"/>
      <c r="G53" s="7"/>
      <c r="J53" s="5"/>
    </row>
    <row r="54" spans="4:10">
      <c r="D54" s="5"/>
      <c r="G54" s="7"/>
      <c r="J54" s="5"/>
    </row>
    <row r="55" spans="4:10">
      <c r="D55" s="5"/>
      <c r="G55" s="7"/>
      <c r="J55" s="5"/>
    </row>
    <row r="56" spans="4:10">
      <c r="D56" s="5"/>
      <c r="G56" s="7"/>
      <c r="J56" s="5"/>
    </row>
    <row r="57" spans="4:10">
      <c r="D57" s="5"/>
      <c r="G57" s="7"/>
      <c r="J57" s="5"/>
    </row>
    <row r="58" spans="4:10">
      <c r="D58" s="5"/>
      <c r="G58" s="7"/>
      <c r="J58" s="5"/>
    </row>
    <row r="59" spans="4:10">
      <c r="D59" s="5"/>
      <c r="G59" s="7"/>
      <c r="J59" s="5"/>
    </row>
    <row r="60" spans="4:10">
      <c r="D60" s="5"/>
      <c r="G60" s="7"/>
      <c r="J60" s="5"/>
    </row>
    <row r="61" spans="4:10">
      <c r="D61" s="5"/>
      <c r="G61" s="7"/>
      <c r="J61" s="5"/>
    </row>
    <row r="62" spans="4:10">
      <c r="D62" s="5"/>
      <c r="G62" s="7"/>
      <c r="J62" s="5"/>
    </row>
    <row r="63" spans="4:10">
      <c r="D63" s="5"/>
      <c r="G63" s="7"/>
      <c r="J63" s="5"/>
    </row>
    <row r="64" spans="4:10">
      <c r="D64" s="5"/>
      <c r="G64" s="7"/>
      <c r="J64" s="5"/>
    </row>
    <row r="65" spans="4:10">
      <c r="D65" s="5"/>
      <c r="G65" s="7"/>
      <c r="J65" s="5"/>
    </row>
    <row r="66" spans="4:10">
      <c r="D66" s="5"/>
      <c r="G66" s="7"/>
      <c r="J66" s="5"/>
    </row>
    <row r="67" spans="4:10">
      <c r="D67" s="5"/>
      <c r="G67" s="7"/>
      <c r="J67" s="5"/>
    </row>
    <row r="68" spans="4:10">
      <c r="D68" s="5"/>
      <c r="G68" s="7"/>
      <c r="J68" s="5"/>
    </row>
    <row r="69" spans="4:10">
      <c r="D69" s="5"/>
      <c r="G69" s="7"/>
      <c r="J69" s="5"/>
    </row>
    <row r="70" spans="4:10">
      <c r="D70" s="5"/>
      <c r="G70" s="7"/>
      <c r="J70" s="5"/>
    </row>
    <row r="71" spans="4:10">
      <c r="D71" s="5"/>
      <c r="G71" s="7"/>
      <c r="J71" s="5"/>
    </row>
    <row r="72" spans="4:10">
      <c r="D72" s="5"/>
      <c r="G72" s="7"/>
      <c r="J72" s="5"/>
    </row>
    <row r="73" spans="4:10">
      <c r="D73" s="5"/>
      <c r="G73" s="7"/>
      <c r="J73" s="5"/>
    </row>
    <row r="74" spans="4:10">
      <c r="D74" s="5"/>
      <c r="G74" s="7"/>
      <c r="J74" s="5"/>
    </row>
    <row r="75" spans="4:10">
      <c r="D75" s="5"/>
      <c r="G75" s="7"/>
      <c r="J75" s="5"/>
    </row>
    <row r="76" spans="4:10">
      <c r="D76" s="5"/>
      <c r="G76" s="7"/>
      <c r="J76" s="5"/>
    </row>
    <row r="77" spans="4:10">
      <c r="D77" s="5"/>
      <c r="G77" s="7"/>
      <c r="J77" s="5"/>
    </row>
    <row r="78" spans="4:10">
      <c r="D78" s="5"/>
      <c r="G78" s="7"/>
      <c r="J78" s="5"/>
    </row>
    <row r="79" spans="4:10">
      <c r="D79" s="5"/>
      <c r="G79" s="7"/>
      <c r="J79" s="5"/>
    </row>
    <row r="80" spans="4:10">
      <c r="D80" s="5"/>
      <c r="G80" s="7"/>
      <c r="J80" s="5"/>
    </row>
    <row r="81" spans="4:10">
      <c r="D81" s="5"/>
      <c r="G81" s="7"/>
      <c r="J81" s="5"/>
    </row>
    <row r="82" spans="4:10">
      <c r="D82" s="5"/>
      <c r="G82" s="7"/>
      <c r="J82" s="5"/>
    </row>
    <row r="83" spans="4:10">
      <c r="D83" s="5"/>
      <c r="G83" s="7"/>
      <c r="J83" s="5"/>
    </row>
    <row r="84" spans="4:10">
      <c r="D84" s="5"/>
      <c r="G84" s="7"/>
      <c r="J84" s="5"/>
    </row>
    <row r="85" spans="4:10">
      <c r="D85" s="5"/>
      <c r="G85" s="7"/>
      <c r="J85" s="5"/>
    </row>
    <row r="86" spans="4:10">
      <c r="D86" s="5"/>
      <c r="G86" s="7"/>
      <c r="J86" s="5"/>
    </row>
    <row r="87" spans="4:10">
      <c r="D87" s="5"/>
      <c r="G87" s="7"/>
      <c r="J87" s="5"/>
    </row>
    <row r="88" spans="4:10">
      <c r="D88" s="5"/>
      <c r="G88" s="7"/>
      <c r="J88" s="5"/>
    </row>
    <row r="89" spans="4:10">
      <c r="D89" s="5"/>
      <c r="G89" s="7"/>
      <c r="J89" s="5"/>
    </row>
    <row r="90" spans="4:10">
      <c r="D90" s="5"/>
      <c r="G90" s="7"/>
      <c r="J90" s="5"/>
    </row>
    <row r="91" spans="4:10">
      <c r="D91" s="5"/>
      <c r="G91" s="7"/>
      <c r="J91" s="5"/>
    </row>
    <row r="92" spans="4:10">
      <c r="D92" s="5"/>
      <c r="G92" s="7"/>
      <c r="J92" s="5"/>
    </row>
    <row r="93" spans="4:10">
      <c r="D93" s="5"/>
      <c r="G93" s="7"/>
      <c r="J93" s="5"/>
    </row>
    <row r="94" spans="4:10">
      <c r="D94" s="5"/>
      <c r="G94" s="7"/>
      <c r="J94" s="5"/>
    </row>
    <row r="95" spans="4:10">
      <c r="D95" s="5"/>
      <c r="G95" s="7"/>
      <c r="J95" s="5"/>
    </row>
    <row r="96" spans="4:10">
      <c r="D96" s="5"/>
      <c r="G96" s="7"/>
      <c r="J96" s="5"/>
    </row>
    <row r="97" spans="4:10">
      <c r="D97" s="5"/>
      <c r="G97" s="7"/>
      <c r="J97" s="5"/>
    </row>
    <row r="98" spans="4:10">
      <c r="D98" s="5"/>
      <c r="G98" s="7"/>
      <c r="J98" s="5"/>
    </row>
    <row r="99" spans="4:10">
      <c r="D99" s="5"/>
      <c r="G99" s="7"/>
      <c r="J99" s="5"/>
    </row>
    <row r="100" spans="4:10">
      <c r="D100" s="5"/>
      <c r="G100" s="7"/>
      <c r="J100" s="5"/>
    </row>
  </sheetData>
  <mergeCells count="1">
    <mergeCell ref="A1:K1"/>
  </mergeCells>
  <dataValidations count="1">
    <dataValidation type="list" sqref="I4:I100" xr:uid="{00000000-0002-0000-0300-000000000000}">
      <formula1>"Open,In Progress,Closed"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>
      <selection sqref="A1:J1"/>
    </sheetView>
  </sheetViews>
  <sheetFormatPr defaultRowHeight="13.8"/>
  <cols>
    <col min="1" max="1" width="13" customWidth="1"/>
    <col min="2" max="2" width="22" customWidth="1"/>
    <col min="3" max="3" width="40" customWidth="1"/>
    <col min="4" max="4" width="36" customWidth="1"/>
    <col min="5" max="5" width="22" customWidth="1"/>
    <col min="6" max="8" width="14" customWidth="1"/>
    <col min="9" max="9" width="16" customWidth="1"/>
    <col min="10" max="10" width="32" customWidth="1"/>
  </cols>
  <sheetData>
    <row r="1" spans="1:26" ht="21">
      <c r="A1" s="11" t="s">
        <v>190</v>
      </c>
      <c r="B1" s="12"/>
      <c r="C1" s="12"/>
      <c r="D1" s="12"/>
      <c r="E1" s="12"/>
      <c r="F1" s="12"/>
      <c r="G1" s="12"/>
      <c r="H1" s="12"/>
      <c r="I1" s="12"/>
      <c r="J1" s="12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 ht="27.6">
      <c r="A3" s="1" t="s">
        <v>191</v>
      </c>
      <c r="B3" s="1" t="s">
        <v>192</v>
      </c>
      <c r="C3" s="1" t="s">
        <v>193</v>
      </c>
      <c r="D3" s="1" t="s">
        <v>194</v>
      </c>
      <c r="E3" s="1" t="s">
        <v>195</v>
      </c>
      <c r="F3" s="1" t="s">
        <v>196</v>
      </c>
      <c r="G3" s="1" t="s">
        <v>4</v>
      </c>
      <c r="H3" s="1" t="s">
        <v>197</v>
      </c>
      <c r="I3" s="1" t="s">
        <v>198</v>
      </c>
      <c r="J3" s="1" t="s">
        <v>199</v>
      </c>
    </row>
    <row r="4" spans="1:26" ht="27.6">
      <c r="A4" s="3" t="s">
        <v>200</v>
      </c>
      <c r="B4" s="3" t="s">
        <v>12</v>
      </c>
      <c r="C4" s="3" t="s">
        <v>201</v>
      </c>
      <c r="D4" s="3" t="s">
        <v>202</v>
      </c>
      <c r="E4" s="3" t="s">
        <v>68</v>
      </c>
      <c r="F4" s="4">
        <v>46193</v>
      </c>
      <c r="G4" s="3" t="s">
        <v>139</v>
      </c>
      <c r="H4" s="3">
        <f ca="1">IF(G4="Closed",0,F4-TODAY())</f>
        <v>8</v>
      </c>
      <c r="I4" s="4"/>
      <c r="J4" s="3" t="s">
        <v>203</v>
      </c>
    </row>
    <row r="5" spans="1:26">
      <c r="A5" s="3" t="s">
        <v>204</v>
      </c>
      <c r="B5" s="3" t="s">
        <v>9</v>
      </c>
      <c r="C5" s="3" t="s">
        <v>205</v>
      </c>
      <c r="D5" s="3" t="s">
        <v>206</v>
      </c>
      <c r="E5" s="3" t="s">
        <v>55</v>
      </c>
      <c r="F5" s="4">
        <v>46191</v>
      </c>
      <c r="G5" s="3" t="s">
        <v>156</v>
      </c>
      <c r="H5" s="3">
        <f ca="1">IF(G5="Closed",0,F5-TODAY())</f>
        <v>0</v>
      </c>
      <c r="I5" s="4">
        <v>46190</v>
      </c>
      <c r="J5" s="3" t="s">
        <v>207</v>
      </c>
    </row>
    <row r="6" spans="1:26" ht="27.6">
      <c r="A6" s="3" t="s">
        <v>208</v>
      </c>
      <c r="B6" s="3" t="s">
        <v>20</v>
      </c>
      <c r="C6" s="3" t="s">
        <v>209</v>
      </c>
      <c r="D6" s="3" t="s">
        <v>210</v>
      </c>
      <c r="E6" s="3" t="s">
        <v>100</v>
      </c>
      <c r="F6" s="4">
        <v>46198</v>
      </c>
      <c r="G6" s="3" t="s">
        <v>143</v>
      </c>
      <c r="H6" s="3">
        <f ca="1">IF(G6="Closed",0,F6-TODAY())</f>
        <v>13</v>
      </c>
      <c r="I6" s="4"/>
      <c r="J6" s="3" t="s">
        <v>211</v>
      </c>
    </row>
    <row r="7" spans="1:26" ht="27.6">
      <c r="A7" s="3" t="s">
        <v>212</v>
      </c>
      <c r="B7" s="3" t="s">
        <v>213</v>
      </c>
      <c r="C7" s="3" t="s">
        <v>214</v>
      </c>
      <c r="D7" s="3" t="s">
        <v>215</v>
      </c>
      <c r="E7" s="3" t="s">
        <v>61</v>
      </c>
      <c r="F7" s="4">
        <v>46194</v>
      </c>
      <c r="G7" s="3" t="s">
        <v>143</v>
      </c>
      <c r="H7" s="3">
        <f ca="1">IF(G7="Closed",0,F7-TODAY())</f>
        <v>9</v>
      </c>
      <c r="I7" s="4"/>
      <c r="J7" s="3" t="s">
        <v>216</v>
      </c>
    </row>
    <row r="8" spans="1:26">
      <c r="A8" s="3" t="s">
        <v>217</v>
      </c>
      <c r="B8" s="3" t="s">
        <v>218</v>
      </c>
      <c r="C8" s="3" t="s">
        <v>219</v>
      </c>
      <c r="D8" s="3" t="s">
        <v>220</v>
      </c>
      <c r="E8" s="3" t="s">
        <v>118</v>
      </c>
      <c r="F8" s="4">
        <v>46195</v>
      </c>
      <c r="G8" s="3" t="s">
        <v>139</v>
      </c>
      <c r="H8" s="3">
        <f ca="1">IF(G8="Closed",0,F8-TODAY())</f>
        <v>10</v>
      </c>
      <c r="I8" s="4"/>
      <c r="J8" s="3" t="s">
        <v>221</v>
      </c>
    </row>
    <row r="9" spans="1:26">
      <c r="F9" s="5"/>
      <c r="I9" s="5"/>
    </row>
    <row r="10" spans="1:26">
      <c r="F10" s="5"/>
      <c r="I10" s="5"/>
    </row>
    <row r="11" spans="1:26">
      <c r="F11" s="5"/>
      <c r="I11" s="5"/>
    </row>
    <row r="12" spans="1:26">
      <c r="F12" s="5"/>
      <c r="I12" s="5"/>
    </row>
    <row r="13" spans="1:26">
      <c r="F13" s="5"/>
      <c r="I13" s="5"/>
    </row>
    <row r="14" spans="1:26">
      <c r="F14" s="5"/>
      <c r="I14" s="5"/>
    </row>
    <row r="15" spans="1:26">
      <c r="F15" s="5"/>
      <c r="I15" s="5"/>
    </row>
    <row r="16" spans="1:26">
      <c r="F16" s="5"/>
      <c r="I16" s="5"/>
    </row>
    <row r="17" spans="6:9">
      <c r="F17" s="5"/>
      <c r="I17" s="5"/>
    </row>
    <row r="18" spans="6:9">
      <c r="F18" s="5"/>
      <c r="I18" s="5"/>
    </row>
    <row r="19" spans="6:9">
      <c r="F19" s="5"/>
      <c r="I19" s="5"/>
    </row>
    <row r="20" spans="6:9">
      <c r="F20" s="5"/>
      <c r="I20" s="5"/>
    </row>
    <row r="21" spans="6:9">
      <c r="F21" s="5"/>
      <c r="I21" s="5"/>
    </row>
    <row r="22" spans="6:9">
      <c r="F22" s="5"/>
      <c r="I22" s="5"/>
    </row>
    <row r="23" spans="6:9">
      <c r="F23" s="5"/>
      <c r="I23" s="5"/>
    </row>
    <row r="24" spans="6:9">
      <c r="F24" s="5"/>
      <c r="I24" s="5"/>
    </row>
    <row r="25" spans="6:9">
      <c r="F25" s="5"/>
      <c r="I25" s="5"/>
    </row>
    <row r="26" spans="6:9">
      <c r="F26" s="5"/>
      <c r="I26" s="5"/>
    </row>
    <row r="27" spans="6:9">
      <c r="F27" s="5"/>
      <c r="I27" s="5"/>
    </row>
    <row r="28" spans="6:9">
      <c r="F28" s="5"/>
      <c r="I28" s="5"/>
    </row>
    <row r="29" spans="6:9">
      <c r="F29" s="5"/>
      <c r="I29" s="5"/>
    </row>
    <row r="30" spans="6:9">
      <c r="F30" s="5"/>
      <c r="I30" s="5"/>
    </row>
    <row r="31" spans="6:9">
      <c r="F31" s="5"/>
      <c r="I31" s="5"/>
    </row>
    <row r="32" spans="6:9">
      <c r="F32" s="5"/>
      <c r="I32" s="5"/>
    </row>
    <row r="33" spans="6:9">
      <c r="F33" s="5"/>
      <c r="I33" s="5"/>
    </row>
    <row r="34" spans="6:9">
      <c r="F34" s="5"/>
      <c r="I34" s="5"/>
    </row>
    <row r="35" spans="6:9">
      <c r="F35" s="5"/>
      <c r="I35" s="5"/>
    </row>
    <row r="36" spans="6:9">
      <c r="F36" s="5"/>
      <c r="I36" s="5"/>
    </row>
    <row r="37" spans="6:9">
      <c r="F37" s="5"/>
      <c r="I37" s="5"/>
    </row>
    <row r="38" spans="6:9">
      <c r="F38" s="5"/>
      <c r="I38" s="5"/>
    </row>
    <row r="39" spans="6:9">
      <c r="F39" s="5"/>
      <c r="I39" s="5"/>
    </row>
    <row r="40" spans="6:9">
      <c r="F40" s="5"/>
      <c r="I40" s="5"/>
    </row>
    <row r="41" spans="6:9">
      <c r="F41" s="5"/>
      <c r="I41" s="5"/>
    </row>
    <row r="42" spans="6:9">
      <c r="F42" s="5"/>
      <c r="I42" s="5"/>
    </row>
    <row r="43" spans="6:9">
      <c r="F43" s="5"/>
      <c r="I43" s="5"/>
    </row>
    <row r="44" spans="6:9">
      <c r="F44" s="5"/>
      <c r="I44" s="5"/>
    </row>
    <row r="45" spans="6:9">
      <c r="F45" s="5"/>
      <c r="I45" s="5"/>
    </row>
    <row r="46" spans="6:9">
      <c r="F46" s="5"/>
      <c r="I46" s="5"/>
    </row>
    <row r="47" spans="6:9">
      <c r="F47" s="5"/>
      <c r="I47" s="5"/>
    </row>
    <row r="48" spans="6:9">
      <c r="F48" s="5"/>
      <c r="I48" s="5"/>
    </row>
    <row r="49" spans="6:9">
      <c r="F49" s="5"/>
      <c r="I49" s="5"/>
    </row>
    <row r="50" spans="6:9">
      <c r="F50" s="5"/>
      <c r="I50" s="5"/>
    </row>
    <row r="51" spans="6:9">
      <c r="F51" s="5"/>
      <c r="I51" s="5"/>
    </row>
    <row r="52" spans="6:9">
      <c r="F52" s="5"/>
      <c r="I52" s="5"/>
    </row>
    <row r="53" spans="6:9">
      <c r="F53" s="5"/>
      <c r="I53" s="5"/>
    </row>
    <row r="54" spans="6:9">
      <c r="F54" s="5"/>
      <c r="I54" s="5"/>
    </row>
    <row r="55" spans="6:9">
      <c r="F55" s="5"/>
      <c r="I55" s="5"/>
    </row>
    <row r="56" spans="6:9">
      <c r="F56" s="5"/>
      <c r="I56" s="5"/>
    </row>
    <row r="57" spans="6:9">
      <c r="F57" s="5"/>
      <c r="I57" s="5"/>
    </row>
    <row r="58" spans="6:9">
      <c r="F58" s="5"/>
      <c r="I58" s="5"/>
    </row>
    <row r="59" spans="6:9">
      <c r="F59" s="5"/>
      <c r="I59" s="5"/>
    </row>
    <row r="60" spans="6:9">
      <c r="F60" s="5"/>
      <c r="I60" s="5"/>
    </row>
    <row r="61" spans="6:9">
      <c r="F61" s="5"/>
      <c r="I61" s="5"/>
    </row>
    <row r="62" spans="6:9">
      <c r="F62" s="5"/>
      <c r="I62" s="5"/>
    </row>
    <row r="63" spans="6:9">
      <c r="F63" s="5"/>
      <c r="I63" s="5"/>
    </row>
    <row r="64" spans="6:9">
      <c r="F64" s="5"/>
      <c r="I64" s="5"/>
    </row>
    <row r="65" spans="6:9">
      <c r="F65" s="5"/>
      <c r="I65" s="5"/>
    </row>
    <row r="66" spans="6:9">
      <c r="F66" s="5"/>
      <c r="I66" s="5"/>
    </row>
    <row r="67" spans="6:9">
      <c r="F67" s="5"/>
      <c r="I67" s="5"/>
    </row>
    <row r="68" spans="6:9">
      <c r="F68" s="5"/>
      <c r="I68" s="5"/>
    </row>
    <row r="69" spans="6:9">
      <c r="F69" s="5"/>
      <c r="I69" s="5"/>
    </row>
    <row r="70" spans="6:9">
      <c r="F70" s="5"/>
      <c r="I70" s="5"/>
    </row>
    <row r="71" spans="6:9">
      <c r="F71" s="5"/>
      <c r="I71" s="5"/>
    </row>
    <row r="72" spans="6:9">
      <c r="F72" s="5"/>
      <c r="I72" s="5"/>
    </row>
    <row r="73" spans="6:9">
      <c r="F73" s="5"/>
      <c r="I73" s="5"/>
    </row>
    <row r="74" spans="6:9">
      <c r="F74" s="5"/>
      <c r="I74" s="5"/>
    </row>
    <row r="75" spans="6:9">
      <c r="F75" s="5"/>
      <c r="I75" s="5"/>
    </row>
    <row r="76" spans="6:9">
      <c r="F76" s="5"/>
      <c r="I76" s="5"/>
    </row>
    <row r="77" spans="6:9">
      <c r="F77" s="5"/>
      <c r="I77" s="5"/>
    </row>
    <row r="78" spans="6:9">
      <c r="F78" s="5"/>
      <c r="I78" s="5"/>
    </row>
    <row r="79" spans="6:9">
      <c r="F79" s="5"/>
      <c r="I79" s="5"/>
    </row>
    <row r="80" spans="6:9">
      <c r="F80" s="5"/>
      <c r="I80" s="5"/>
    </row>
    <row r="81" spans="6:9">
      <c r="F81" s="5"/>
      <c r="I81" s="5"/>
    </row>
    <row r="82" spans="6:9">
      <c r="F82" s="5"/>
      <c r="I82" s="5"/>
    </row>
    <row r="83" spans="6:9">
      <c r="F83" s="5"/>
      <c r="I83" s="5"/>
    </row>
    <row r="84" spans="6:9">
      <c r="F84" s="5"/>
      <c r="I84" s="5"/>
    </row>
    <row r="85" spans="6:9">
      <c r="F85" s="5"/>
      <c r="I85" s="5"/>
    </row>
    <row r="86" spans="6:9">
      <c r="F86" s="5"/>
      <c r="I86" s="5"/>
    </row>
    <row r="87" spans="6:9">
      <c r="F87" s="5"/>
      <c r="I87" s="5"/>
    </row>
    <row r="88" spans="6:9">
      <c r="F88" s="5"/>
      <c r="I88" s="5"/>
    </row>
    <row r="89" spans="6:9">
      <c r="F89" s="5"/>
      <c r="I89" s="5"/>
    </row>
    <row r="90" spans="6:9">
      <c r="F90" s="5"/>
      <c r="I90" s="5"/>
    </row>
    <row r="91" spans="6:9">
      <c r="F91" s="5"/>
      <c r="I91" s="5"/>
    </row>
    <row r="92" spans="6:9">
      <c r="F92" s="5"/>
      <c r="I92" s="5"/>
    </row>
    <row r="93" spans="6:9">
      <c r="F93" s="5"/>
      <c r="I93" s="5"/>
    </row>
    <row r="94" spans="6:9">
      <c r="F94" s="5"/>
      <c r="I94" s="5"/>
    </row>
    <row r="95" spans="6:9">
      <c r="F95" s="5"/>
      <c r="I95" s="5"/>
    </row>
    <row r="96" spans="6:9">
      <c r="F96" s="5"/>
      <c r="I96" s="5"/>
    </row>
    <row r="97" spans="6:9">
      <c r="F97" s="5"/>
      <c r="I97" s="5"/>
    </row>
    <row r="98" spans="6:9">
      <c r="F98" s="5"/>
      <c r="I98" s="5"/>
    </row>
    <row r="99" spans="6:9">
      <c r="F99" s="5"/>
      <c r="I99" s="5"/>
    </row>
    <row r="100" spans="6:9">
      <c r="F100" s="5"/>
      <c r="I100" s="5"/>
    </row>
  </sheetData>
  <mergeCells count="1">
    <mergeCell ref="A1:J1"/>
  </mergeCells>
  <conditionalFormatting sqref="H4:H8">
    <cfRule type="cellIs" dxfId="2" priority="1" operator="lessThan">
      <formula>0</formula>
    </cfRule>
  </conditionalFormatting>
  <dataValidations count="1">
    <dataValidation type="list" sqref="G4:G100" xr:uid="{00000000-0002-0000-0400-000000000000}">
      <formula1>"Open,In Progress,Closed"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>
      <selection sqref="A1:I1"/>
    </sheetView>
  </sheetViews>
  <sheetFormatPr defaultRowHeight="13.8"/>
  <cols>
    <col min="1" max="1" width="12" customWidth="1"/>
    <col min="2" max="2" width="34" customWidth="1"/>
    <col min="3" max="3" width="24" customWidth="1"/>
    <col min="4" max="4" width="10" customWidth="1"/>
    <col min="5" max="7" width="14" customWidth="1"/>
    <col min="8" max="8" width="24" customWidth="1"/>
    <col min="9" max="9" width="36" customWidth="1"/>
  </cols>
  <sheetData>
    <row r="1" spans="1:26" ht="21">
      <c r="A1" s="11" t="s">
        <v>222</v>
      </c>
      <c r="B1" s="12"/>
      <c r="C1" s="12"/>
      <c r="D1" s="12"/>
      <c r="E1" s="12"/>
      <c r="F1" s="12"/>
      <c r="G1" s="12"/>
      <c r="H1" s="12"/>
      <c r="I1" s="1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>
      <c r="A3" s="1" t="s">
        <v>223</v>
      </c>
      <c r="B3" s="1" t="s">
        <v>224</v>
      </c>
      <c r="C3" s="1" t="s">
        <v>225</v>
      </c>
      <c r="D3" s="1" t="s">
        <v>226</v>
      </c>
      <c r="E3" s="1" t="s">
        <v>227</v>
      </c>
      <c r="F3" s="1" t="s">
        <v>134</v>
      </c>
      <c r="G3" s="1" t="s">
        <v>4</v>
      </c>
      <c r="H3" s="1" t="s">
        <v>228</v>
      </c>
      <c r="I3" s="1" t="s">
        <v>229</v>
      </c>
    </row>
    <row r="4" spans="1:26">
      <c r="A4" s="3" t="s">
        <v>230</v>
      </c>
      <c r="B4" s="3" t="s">
        <v>231</v>
      </c>
      <c r="C4" s="3" t="s">
        <v>61</v>
      </c>
      <c r="D4" s="3" t="s">
        <v>232</v>
      </c>
      <c r="E4" s="4">
        <v>46174</v>
      </c>
      <c r="F4" s="4">
        <v>46357</v>
      </c>
      <c r="G4" s="3" t="s">
        <v>233</v>
      </c>
      <c r="H4" s="3" t="s">
        <v>51</v>
      </c>
      <c r="I4" s="3" t="s">
        <v>234</v>
      </c>
    </row>
    <row r="5" spans="1:26">
      <c r="A5" s="3" t="s">
        <v>235</v>
      </c>
      <c r="B5" s="3" t="s">
        <v>236</v>
      </c>
      <c r="C5" s="3" t="s">
        <v>75</v>
      </c>
      <c r="D5" s="3" t="s">
        <v>232</v>
      </c>
      <c r="E5" s="4">
        <v>46174</v>
      </c>
      <c r="F5" s="4">
        <v>46357</v>
      </c>
      <c r="G5" s="3" t="s">
        <v>233</v>
      </c>
      <c r="H5" s="3" t="s">
        <v>71</v>
      </c>
      <c r="I5" s="3" t="s">
        <v>237</v>
      </c>
    </row>
    <row r="6" spans="1:26">
      <c r="A6" s="3" t="s">
        <v>238</v>
      </c>
      <c r="B6" s="3" t="s">
        <v>239</v>
      </c>
      <c r="C6" s="3" t="s">
        <v>68</v>
      </c>
      <c r="D6" s="3" t="s">
        <v>232</v>
      </c>
      <c r="E6" s="4">
        <v>46174</v>
      </c>
      <c r="F6" s="4">
        <v>46357</v>
      </c>
      <c r="G6" s="3" t="s">
        <v>233</v>
      </c>
      <c r="H6" s="3" t="s">
        <v>65</v>
      </c>
      <c r="I6" s="3" t="s">
        <v>240</v>
      </c>
    </row>
    <row r="7" spans="1:26">
      <c r="A7" s="3" t="s">
        <v>241</v>
      </c>
      <c r="B7" s="3" t="s">
        <v>242</v>
      </c>
      <c r="C7" s="3" t="s">
        <v>94</v>
      </c>
      <c r="D7" s="3" t="s">
        <v>232</v>
      </c>
      <c r="E7" s="4">
        <v>46174</v>
      </c>
      <c r="F7" s="4">
        <v>46357</v>
      </c>
      <c r="G7" s="3" t="s">
        <v>233</v>
      </c>
      <c r="H7" s="3" t="s">
        <v>91</v>
      </c>
      <c r="I7" s="3" t="s">
        <v>243</v>
      </c>
    </row>
    <row r="8" spans="1:26">
      <c r="A8" s="3" t="s">
        <v>244</v>
      </c>
      <c r="B8" s="3" t="s">
        <v>245</v>
      </c>
      <c r="C8" s="3" t="s">
        <v>94</v>
      </c>
      <c r="D8" s="3" t="s">
        <v>232</v>
      </c>
      <c r="E8" s="4">
        <v>46174</v>
      </c>
      <c r="F8" s="4">
        <v>46357</v>
      </c>
      <c r="G8" s="3" t="s">
        <v>233</v>
      </c>
      <c r="H8" s="3" t="s">
        <v>121</v>
      </c>
      <c r="I8" s="3" t="s">
        <v>246</v>
      </c>
    </row>
    <row r="9" spans="1:26">
      <c r="A9" s="3" t="s">
        <v>247</v>
      </c>
      <c r="B9" s="3" t="s">
        <v>248</v>
      </c>
      <c r="C9" s="3" t="s">
        <v>82</v>
      </c>
      <c r="D9" s="3" t="s">
        <v>232</v>
      </c>
      <c r="E9" s="4">
        <v>46174</v>
      </c>
      <c r="F9" s="4">
        <v>46357</v>
      </c>
      <c r="G9" s="3" t="s">
        <v>233</v>
      </c>
      <c r="H9" s="3" t="s">
        <v>78</v>
      </c>
      <c r="I9" s="3" t="s">
        <v>249</v>
      </c>
    </row>
    <row r="10" spans="1:26">
      <c r="A10" s="3" t="s">
        <v>250</v>
      </c>
      <c r="B10" s="3" t="s">
        <v>110</v>
      </c>
      <c r="C10" s="3" t="s">
        <v>94</v>
      </c>
      <c r="D10" s="3" t="s">
        <v>232</v>
      </c>
      <c r="E10" s="4">
        <v>46174</v>
      </c>
      <c r="F10" s="4">
        <v>46357</v>
      </c>
      <c r="G10" s="3" t="s">
        <v>233</v>
      </c>
      <c r="H10" s="3" t="s">
        <v>110</v>
      </c>
      <c r="I10" s="3" t="s">
        <v>251</v>
      </c>
    </row>
    <row r="11" spans="1:26">
      <c r="E11" s="5"/>
      <c r="F11" s="5"/>
    </row>
    <row r="12" spans="1:26">
      <c r="E12" s="5"/>
      <c r="F12" s="5"/>
    </row>
    <row r="13" spans="1:26">
      <c r="E13" s="5"/>
      <c r="F13" s="5"/>
    </row>
    <row r="14" spans="1:26">
      <c r="E14" s="5"/>
      <c r="F14" s="5"/>
    </row>
    <row r="15" spans="1:26">
      <c r="E15" s="5"/>
      <c r="F15" s="5"/>
    </row>
    <row r="16" spans="1:26">
      <c r="E16" s="5"/>
      <c r="F16" s="5"/>
    </row>
    <row r="17" spans="5:6">
      <c r="E17" s="5"/>
      <c r="F17" s="5"/>
    </row>
    <row r="18" spans="5:6">
      <c r="E18" s="5"/>
      <c r="F18" s="5"/>
    </row>
    <row r="19" spans="5:6">
      <c r="E19" s="5"/>
      <c r="F19" s="5"/>
    </row>
    <row r="20" spans="5:6">
      <c r="E20" s="5"/>
      <c r="F20" s="5"/>
    </row>
    <row r="21" spans="5:6">
      <c r="E21" s="5"/>
      <c r="F21" s="5"/>
    </row>
    <row r="22" spans="5:6">
      <c r="E22" s="5"/>
      <c r="F22" s="5"/>
    </row>
    <row r="23" spans="5:6">
      <c r="E23" s="5"/>
      <c r="F23" s="5"/>
    </row>
    <row r="24" spans="5:6">
      <c r="E24" s="5"/>
      <c r="F24" s="5"/>
    </row>
    <row r="25" spans="5:6">
      <c r="E25" s="5"/>
      <c r="F25" s="5"/>
    </row>
    <row r="26" spans="5:6">
      <c r="E26" s="5"/>
      <c r="F26" s="5"/>
    </row>
    <row r="27" spans="5:6">
      <c r="E27" s="5"/>
      <c r="F27" s="5"/>
    </row>
    <row r="28" spans="5:6">
      <c r="E28" s="5"/>
      <c r="F28" s="5"/>
    </row>
    <row r="29" spans="5:6">
      <c r="E29" s="5"/>
      <c r="F29" s="5"/>
    </row>
    <row r="30" spans="5:6">
      <c r="E30" s="5"/>
      <c r="F30" s="5"/>
    </row>
    <row r="31" spans="5:6">
      <c r="E31" s="5"/>
      <c r="F31" s="5"/>
    </row>
    <row r="32" spans="5:6">
      <c r="E32" s="5"/>
      <c r="F32" s="5"/>
    </row>
    <row r="33" spans="5:6">
      <c r="E33" s="5"/>
      <c r="F33" s="5"/>
    </row>
    <row r="34" spans="5:6">
      <c r="E34" s="5"/>
      <c r="F34" s="5"/>
    </row>
    <row r="35" spans="5:6">
      <c r="E35" s="5"/>
      <c r="F35" s="5"/>
    </row>
    <row r="36" spans="5:6">
      <c r="E36" s="5"/>
      <c r="F36" s="5"/>
    </row>
    <row r="37" spans="5:6">
      <c r="E37" s="5"/>
      <c r="F37" s="5"/>
    </row>
    <row r="38" spans="5:6">
      <c r="E38" s="5"/>
      <c r="F38" s="5"/>
    </row>
    <row r="39" spans="5:6">
      <c r="E39" s="5"/>
      <c r="F39" s="5"/>
    </row>
    <row r="40" spans="5:6">
      <c r="E40" s="5"/>
      <c r="F40" s="5"/>
    </row>
    <row r="41" spans="5:6">
      <c r="E41" s="5"/>
      <c r="F41" s="5"/>
    </row>
    <row r="42" spans="5:6">
      <c r="E42" s="5"/>
      <c r="F42" s="5"/>
    </row>
    <row r="43" spans="5:6">
      <c r="E43" s="5"/>
      <c r="F43" s="5"/>
    </row>
    <row r="44" spans="5:6">
      <c r="E44" s="5"/>
      <c r="F44" s="5"/>
    </row>
    <row r="45" spans="5:6">
      <c r="E45" s="5"/>
      <c r="F45" s="5"/>
    </row>
    <row r="46" spans="5:6">
      <c r="E46" s="5"/>
      <c r="F46" s="5"/>
    </row>
    <row r="47" spans="5:6">
      <c r="E47" s="5"/>
      <c r="F47" s="5"/>
    </row>
    <row r="48" spans="5:6">
      <c r="E48" s="5"/>
      <c r="F48" s="5"/>
    </row>
    <row r="49" spans="5:6">
      <c r="E49" s="5"/>
      <c r="F49" s="5"/>
    </row>
    <row r="50" spans="5:6">
      <c r="E50" s="5"/>
      <c r="F50" s="5"/>
    </row>
    <row r="51" spans="5:6">
      <c r="E51" s="5"/>
      <c r="F51" s="5"/>
    </row>
    <row r="52" spans="5:6">
      <c r="E52" s="5"/>
      <c r="F52" s="5"/>
    </row>
    <row r="53" spans="5:6">
      <c r="E53" s="5"/>
      <c r="F53" s="5"/>
    </row>
    <row r="54" spans="5:6">
      <c r="E54" s="5"/>
      <c r="F54" s="5"/>
    </row>
    <row r="55" spans="5:6">
      <c r="E55" s="5"/>
      <c r="F55" s="5"/>
    </row>
    <row r="56" spans="5:6">
      <c r="E56" s="5"/>
      <c r="F56" s="5"/>
    </row>
    <row r="57" spans="5:6">
      <c r="E57" s="5"/>
      <c r="F57" s="5"/>
    </row>
    <row r="58" spans="5:6">
      <c r="E58" s="5"/>
      <c r="F58" s="5"/>
    </row>
    <row r="59" spans="5:6">
      <c r="E59" s="5"/>
      <c r="F59" s="5"/>
    </row>
    <row r="60" spans="5:6">
      <c r="E60" s="5"/>
      <c r="F60" s="5"/>
    </row>
    <row r="61" spans="5:6">
      <c r="E61" s="5"/>
      <c r="F61" s="5"/>
    </row>
    <row r="62" spans="5:6">
      <c r="E62" s="5"/>
      <c r="F62" s="5"/>
    </row>
    <row r="63" spans="5:6">
      <c r="E63" s="5"/>
      <c r="F63" s="5"/>
    </row>
    <row r="64" spans="5:6">
      <c r="E64" s="5"/>
      <c r="F64" s="5"/>
    </row>
    <row r="65" spans="5:6">
      <c r="E65" s="5"/>
      <c r="F65" s="5"/>
    </row>
    <row r="66" spans="5:6">
      <c r="E66" s="5"/>
      <c r="F66" s="5"/>
    </row>
    <row r="67" spans="5:6">
      <c r="E67" s="5"/>
      <c r="F67" s="5"/>
    </row>
    <row r="68" spans="5:6">
      <c r="E68" s="5"/>
      <c r="F68" s="5"/>
    </row>
    <row r="69" spans="5:6">
      <c r="E69" s="5"/>
      <c r="F69" s="5"/>
    </row>
    <row r="70" spans="5:6">
      <c r="E70" s="5"/>
      <c r="F70" s="5"/>
    </row>
    <row r="71" spans="5:6">
      <c r="E71" s="5"/>
      <c r="F71" s="5"/>
    </row>
    <row r="72" spans="5:6">
      <c r="E72" s="5"/>
      <c r="F72" s="5"/>
    </row>
    <row r="73" spans="5:6">
      <c r="E73" s="5"/>
      <c r="F73" s="5"/>
    </row>
    <row r="74" spans="5:6">
      <c r="E74" s="5"/>
      <c r="F74" s="5"/>
    </row>
    <row r="75" spans="5:6">
      <c r="E75" s="5"/>
      <c r="F75" s="5"/>
    </row>
    <row r="76" spans="5:6">
      <c r="E76" s="5"/>
      <c r="F76" s="5"/>
    </row>
    <row r="77" spans="5:6">
      <c r="E77" s="5"/>
      <c r="F77" s="5"/>
    </row>
    <row r="78" spans="5:6">
      <c r="E78" s="5"/>
      <c r="F78" s="5"/>
    </row>
    <row r="79" spans="5:6">
      <c r="E79" s="5"/>
      <c r="F79" s="5"/>
    </row>
    <row r="80" spans="5:6">
      <c r="E80" s="5"/>
      <c r="F80" s="5"/>
    </row>
    <row r="81" spans="5:6">
      <c r="E81" s="5"/>
      <c r="F81" s="5"/>
    </row>
    <row r="82" spans="5:6">
      <c r="E82" s="5"/>
      <c r="F82" s="5"/>
    </row>
    <row r="83" spans="5:6">
      <c r="E83" s="5"/>
      <c r="F83" s="5"/>
    </row>
    <row r="84" spans="5:6">
      <c r="E84" s="5"/>
      <c r="F84" s="5"/>
    </row>
    <row r="85" spans="5:6">
      <c r="E85" s="5"/>
      <c r="F85" s="5"/>
    </row>
    <row r="86" spans="5:6">
      <c r="E86" s="5"/>
      <c r="F86" s="5"/>
    </row>
    <row r="87" spans="5:6">
      <c r="E87" s="5"/>
      <c r="F87" s="5"/>
    </row>
    <row r="88" spans="5:6">
      <c r="E88" s="5"/>
      <c r="F88" s="5"/>
    </row>
    <row r="89" spans="5:6">
      <c r="E89" s="5"/>
      <c r="F89" s="5"/>
    </row>
    <row r="90" spans="5:6">
      <c r="E90" s="5"/>
      <c r="F90" s="5"/>
    </row>
    <row r="91" spans="5:6">
      <c r="E91" s="5"/>
      <c r="F91" s="5"/>
    </row>
    <row r="92" spans="5:6">
      <c r="E92" s="5"/>
      <c r="F92" s="5"/>
    </row>
    <row r="93" spans="5:6">
      <c r="E93" s="5"/>
      <c r="F93" s="5"/>
    </row>
    <row r="94" spans="5:6">
      <c r="E94" s="5"/>
      <c r="F94" s="5"/>
    </row>
    <row r="95" spans="5:6">
      <c r="E95" s="5"/>
      <c r="F95" s="5"/>
    </row>
    <row r="96" spans="5:6">
      <c r="E96" s="5"/>
      <c r="F96" s="5"/>
    </row>
    <row r="97" spans="5:6">
      <c r="E97" s="5"/>
      <c r="F97" s="5"/>
    </row>
    <row r="98" spans="5:6">
      <c r="E98" s="5"/>
      <c r="F98" s="5"/>
    </row>
    <row r="99" spans="5:6">
      <c r="E99" s="5"/>
      <c r="F99" s="5"/>
    </row>
    <row r="100" spans="5:6">
      <c r="E100" s="5"/>
      <c r="F100" s="5"/>
    </row>
  </sheetData>
  <mergeCells count="1">
    <mergeCell ref="A1:I1"/>
  </mergeCells>
  <dataValidations count="1">
    <dataValidation type="list" sqref="G4:G100" xr:uid="{00000000-0002-0000-0500-000000000000}">
      <formula1>"Draft,Approved,Under Review,Archived"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>
      <selection sqref="A1:I1"/>
    </sheetView>
  </sheetViews>
  <sheetFormatPr defaultRowHeight="13.8"/>
  <cols>
    <col min="1" max="1" width="34" customWidth="1"/>
    <col min="2" max="4" width="12" customWidth="1"/>
    <col min="5" max="5" width="14" customWidth="1"/>
    <col min="6" max="6" width="22" customWidth="1"/>
    <col min="7" max="7" width="16" customWidth="1"/>
    <col min="8" max="8" width="14" customWidth="1"/>
    <col min="9" max="9" width="32" customWidth="1"/>
  </cols>
  <sheetData>
    <row r="1" spans="1:26" ht="21">
      <c r="A1" s="11" t="s">
        <v>252</v>
      </c>
      <c r="B1" s="12"/>
      <c r="C1" s="12"/>
      <c r="D1" s="12"/>
      <c r="E1" s="12"/>
      <c r="F1" s="12"/>
      <c r="G1" s="12"/>
      <c r="H1" s="12"/>
      <c r="I1" s="1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>
      <c r="A3" s="1" t="s">
        <v>26</v>
      </c>
      <c r="B3" s="1" t="s">
        <v>253</v>
      </c>
      <c r="C3" s="1" t="s">
        <v>254</v>
      </c>
      <c r="D3" s="1" t="s">
        <v>255</v>
      </c>
      <c r="E3" s="1" t="s">
        <v>256</v>
      </c>
      <c r="F3" s="1" t="s">
        <v>46</v>
      </c>
      <c r="G3" s="1" t="s">
        <v>4</v>
      </c>
      <c r="H3" s="1" t="s">
        <v>257</v>
      </c>
      <c r="I3" s="1" t="s">
        <v>50</v>
      </c>
    </row>
    <row r="4" spans="1:26">
      <c r="A4" s="3" t="s">
        <v>30</v>
      </c>
      <c r="B4" s="6">
        <v>0.95</v>
      </c>
      <c r="C4" s="6">
        <v>0.94</v>
      </c>
      <c r="D4" s="6">
        <f t="shared" ref="D4:D11" si="0">C4-B4</f>
        <v>-1.0000000000000009E-2</v>
      </c>
      <c r="E4" s="3" t="s">
        <v>258</v>
      </c>
      <c r="F4" s="3" t="s">
        <v>61</v>
      </c>
      <c r="G4" s="3" t="s">
        <v>259</v>
      </c>
      <c r="H4" s="3" t="s">
        <v>260</v>
      </c>
      <c r="I4" s="3" t="s">
        <v>261</v>
      </c>
    </row>
    <row r="5" spans="1:26">
      <c r="A5" s="3" t="s">
        <v>32</v>
      </c>
      <c r="B5" s="6">
        <v>1</v>
      </c>
      <c r="C5" s="6">
        <v>0.91</v>
      </c>
      <c r="D5" s="6">
        <f t="shared" si="0"/>
        <v>-8.9999999999999969E-2</v>
      </c>
      <c r="E5" s="3" t="s">
        <v>258</v>
      </c>
      <c r="F5" s="3" t="s">
        <v>68</v>
      </c>
      <c r="G5" s="3" t="s">
        <v>262</v>
      </c>
      <c r="H5" s="3" t="s">
        <v>263</v>
      </c>
      <c r="I5" s="3" t="s">
        <v>264</v>
      </c>
    </row>
    <row r="6" spans="1:26">
      <c r="A6" s="3" t="s">
        <v>34</v>
      </c>
      <c r="B6" s="6">
        <v>0.95</v>
      </c>
      <c r="C6" s="6">
        <v>0.96</v>
      </c>
      <c r="D6" s="6">
        <f t="shared" si="0"/>
        <v>1.0000000000000009E-2</v>
      </c>
      <c r="E6" s="3" t="s">
        <v>258</v>
      </c>
      <c r="F6" s="3" t="s">
        <v>75</v>
      </c>
      <c r="G6" s="3" t="s">
        <v>265</v>
      </c>
      <c r="H6" s="3" t="s">
        <v>266</v>
      </c>
      <c r="I6" s="3" t="s">
        <v>267</v>
      </c>
    </row>
    <row r="7" spans="1:26">
      <c r="A7" s="3" t="s">
        <v>36</v>
      </c>
      <c r="B7" s="6">
        <v>0.9</v>
      </c>
      <c r="C7" s="6">
        <v>0.88</v>
      </c>
      <c r="D7" s="6">
        <f t="shared" si="0"/>
        <v>-2.0000000000000018E-2</v>
      </c>
      <c r="E7" s="3" t="s">
        <v>258</v>
      </c>
      <c r="F7" s="3" t="s">
        <v>94</v>
      </c>
      <c r="G7" s="3" t="s">
        <v>259</v>
      </c>
      <c r="H7" s="3" t="s">
        <v>266</v>
      </c>
      <c r="I7" s="3" t="s">
        <v>268</v>
      </c>
    </row>
    <row r="8" spans="1:26">
      <c r="A8" s="3" t="s">
        <v>37</v>
      </c>
      <c r="B8" s="6">
        <v>1</v>
      </c>
      <c r="C8" s="6">
        <v>0.93</v>
      </c>
      <c r="D8" s="6">
        <f t="shared" si="0"/>
        <v>-6.9999999999999951E-2</v>
      </c>
      <c r="E8" s="3" t="s">
        <v>258</v>
      </c>
      <c r="F8" s="3" t="s">
        <v>100</v>
      </c>
      <c r="G8" s="3" t="s">
        <v>262</v>
      </c>
      <c r="H8" s="3" t="s">
        <v>266</v>
      </c>
      <c r="I8" s="3" t="s">
        <v>269</v>
      </c>
    </row>
    <row r="9" spans="1:26">
      <c r="A9" s="3" t="s">
        <v>38</v>
      </c>
      <c r="B9" s="6">
        <v>0.9</v>
      </c>
      <c r="C9" s="6">
        <v>0.86</v>
      </c>
      <c r="D9" s="6">
        <f t="shared" si="0"/>
        <v>-4.0000000000000036E-2</v>
      </c>
      <c r="E9" s="3" t="s">
        <v>258</v>
      </c>
      <c r="F9" s="3" t="s">
        <v>94</v>
      </c>
      <c r="G9" s="3" t="s">
        <v>262</v>
      </c>
      <c r="H9" s="3" t="s">
        <v>260</v>
      </c>
      <c r="I9" s="3" t="s">
        <v>270</v>
      </c>
    </row>
    <row r="10" spans="1:26">
      <c r="A10" s="3" t="s">
        <v>39</v>
      </c>
      <c r="B10" s="6">
        <v>1</v>
      </c>
      <c r="C10" s="6">
        <v>1</v>
      </c>
      <c r="D10" s="6">
        <f t="shared" si="0"/>
        <v>0</v>
      </c>
      <c r="E10" s="3" t="s">
        <v>258</v>
      </c>
      <c r="F10" s="3" t="s">
        <v>82</v>
      </c>
      <c r="G10" s="3" t="s">
        <v>265</v>
      </c>
      <c r="H10" s="3" t="s">
        <v>266</v>
      </c>
      <c r="I10" s="3" t="s">
        <v>271</v>
      </c>
    </row>
    <row r="11" spans="1:26">
      <c r="A11" s="3" t="s">
        <v>40</v>
      </c>
      <c r="B11" s="6">
        <v>0.98</v>
      </c>
      <c r="C11" s="6">
        <v>1</v>
      </c>
      <c r="D11" s="6">
        <f t="shared" si="0"/>
        <v>2.0000000000000018E-2</v>
      </c>
      <c r="E11" s="3" t="s">
        <v>258</v>
      </c>
      <c r="F11" s="3" t="s">
        <v>107</v>
      </c>
      <c r="G11" s="3" t="s">
        <v>265</v>
      </c>
      <c r="H11" s="3" t="s">
        <v>266</v>
      </c>
      <c r="I11" s="3" t="s">
        <v>272</v>
      </c>
    </row>
    <row r="12" spans="1:26">
      <c r="B12" s="7"/>
      <c r="C12" s="7"/>
      <c r="D12" s="7"/>
    </row>
    <row r="13" spans="1:26">
      <c r="B13" s="7"/>
      <c r="C13" s="7"/>
      <c r="D13" s="7"/>
    </row>
    <row r="14" spans="1:26">
      <c r="B14" s="7"/>
      <c r="C14" s="7"/>
      <c r="D14" s="7"/>
    </row>
    <row r="15" spans="1:26">
      <c r="B15" s="7"/>
      <c r="C15" s="7"/>
      <c r="D15" s="7"/>
    </row>
    <row r="16" spans="1:26">
      <c r="B16" s="7"/>
      <c r="C16" s="7"/>
      <c r="D16" s="7"/>
    </row>
    <row r="17" spans="2:4">
      <c r="B17" s="7"/>
      <c r="C17" s="7"/>
      <c r="D17" s="7"/>
    </row>
    <row r="18" spans="2:4">
      <c r="B18" s="7"/>
      <c r="C18" s="7"/>
      <c r="D18" s="7"/>
    </row>
    <row r="19" spans="2:4">
      <c r="B19" s="7"/>
      <c r="C19" s="7"/>
      <c r="D19" s="7"/>
    </row>
    <row r="20" spans="2:4">
      <c r="B20" s="7"/>
      <c r="C20" s="7"/>
      <c r="D20" s="7"/>
    </row>
    <row r="21" spans="2:4">
      <c r="B21" s="7"/>
      <c r="C21" s="7"/>
      <c r="D21" s="7"/>
    </row>
    <row r="22" spans="2:4">
      <c r="B22" s="7"/>
      <c r="C22" s="7"/>
      <c r="D22" s="7"/>
    </row>
    <row r="23" spans="2:4">
      <c r="B23" s="7"/>
      <c r="C23" s="7"/>
      <c r="D23" s="7"/>
    </row>
    <row r="24" spans="2:4">
      <c r="B24" s="7"/>
      <c r="C24" s="7"/>
      <c r="D24" s="7"/>
    </row>
    <row r="25" spans="2:4">
      <c r="B25" s="7"/>
      <c r="C25" s="7"/>
      <c r="D25" s="7"/>
    </row>
    <row r="26" spans="2:4">
      <c r="B26" s="7"/>
      <c r="C26" s="7"/>
      <c r="D26" s="7"/>
    </row>
    <row r="27" spans="2:4">
      <c r="B27" s="7"/>
      <c r="C27" s="7"/>
      <c r="D27" s="7"/>
    </row>
    <row r="28" spans="2:4">
      <c r="B28" s="7"/>
      <c r="C28" s="7"/>
      <c r="D28" s="7"/>
    </row>
    <row r="29" spans="2:4">
      <c r="B29" s="7"/>
      <c r="C29" s="7"/>
      <c r="D29" s="7"/>
    </row>
    <row r="30" spans="2:4">
      <c r="B30" s="7"/>
      <c r="C30" s="7"/>
      <c r="D30" s="7"/>
    </row>
    <row r="31" spans="2:4">
      <c r="B31" s="7"/>
      <c r="C31" s="7"/>
      <c r="D31" s="7"/>
    </row>
    <row r="32" spans="2:4">
      <c r="B32" s="7"/>
      <c r="C32" s="7"/>
      <c r="D32" s="7"/>
    </row>
    <row r="33" spans="2:4">
      <c r="B33" s="7"/>
      <c r="C33" s="7"/>
      <c r="D33" s="7"/>
    </row>
    <row r="34" spans="2:4">
      <c r="B34" s="7"/>
      <c r="C34" s="7"/>
      <c r="D34" s="7"/>
    </row>
    <row r="35" spans="2:4">
      <c r="B35" s="7"/>
      <c r="C35" s="7"/>
      <c r="D35" s="7"/>
    </row>
    <row r="36" spans="2:4">
      <c r="B36" s="7"/>
      <c r="C36" s="7"/>
      <c r="D36" s="7"/>
    </row>
    <row r="37" spans="2:4">
      <c r="B37" s="7"/>
      <c r="C37" s="7"/>
      <c r="D37" s="7"/>
    </row>
    <row r="38" spans="2:4">
      <c r="B38" s="7"/>
      <c r="C38" s="7"/>
      <c r="D38" s="7"/>
    </row>
    <row r="39" spans="2:4">
      <c r="B39" s="7"/>
      <c r="C39" s="7"/>
      <c r="D39" s="7"/>
    </row>
    <row r="40" spans="2:4">
      <c r="B40" s="7"/>
      <c r="C40" s="7"/>
      <c r="D40" s="7"/>
    </row>
    <row r="41" spans="2:4">
      <c r="B41" s="7"/>
      <c r="C41" s="7"/>
      <c r="D41" s="7"/>
    </row>
    <row r="42" spans="2:4">
      <c r="B42" s="7"/>
      <c r="C42" s="7"/>
      <c r="D42" s="7"/>
    </row>
    <row r="43" spans="2:4">
      <c r="B43" s="7"/>
      <c r="C43" s="7"/>
      <c r="D43" s="7"/>
    </row>
    <row r="44" spans="2:4">
      <c r="B44" s="7"/>
      <c r="C44" s="7"/>
      <c r="D44" s="7"/>
    </row>
    <row r="45" spans="2:4">
      <c r="B45" s="7"/>
      <c r="C45" s="7"/>
      <c r="D45" s="7"/>
    </row>
    <row r="46" spans="2:4">
      <c r="B46" s="7"/>
      <c r="C46" s="7"/>
      <c r="D46" s="7"/>
    </row>
    <row r="47" spans="2:4">
      <c r="B47" s="7"/>
      <c r="C47" s="7"/>
      <c r="D47" s="7"/>
    </row>
    <row r="48" spans="2:4">
      <c r="B48" s="7"/>
      <c r="C48" s="7"/>
      <c r="D48" s="7"/>
    </row>
    <row r="49" spans="2:4">
      <c r="B49" s="7"/>
      <c r="C49" s="7"/>
      <c r="D49" s="7"/>
    </row>
    <row r="50" spans="2:4">
      <c r="B50" s="7"/>
      <c r="C50" s="7"/>
      <c r="D50" s="7"/>
    </row>
    <row r="51" spans="2:4">
      <c r="B51" s="7"/>
      <c r="C51" s="7"/>
      <c r="D51" s="7"/>
    </row>
    <row r="52" spans="2:4">
      <c r="B52" s="7"/>
      <c r="C52" s="7"/>
      <c r="D52" s="7"/>
    </row>
    <row r="53" spans="2:4">
      <c r="B53" s="7"/>
      <c r="C53" s="7"/>
      <c r="D53" s="7"/>
    </row>
    <row r="54" spans="2:4">
      <c r="B54" s="7"/>
      <c r="C54" s="7"/>
      <c r="D54" s="7"/>
    </row>
    <row r="55" spans="2:4">
      <c r="B55" s="7"/>
      <c r="C55" s="7"/>
      <c r="D55" s="7"/>
    </row>
    <row r="56" spans="2:4">
      <c r="B56" s="7"/>
      <c r="C56" s="7"/>
      <c r="D56" s="7"/>
    </row>
    <row r="57" spans="2:4">
      <c r="B57" s="7"/>
      <c r="C57" s="7"/>
      <c r="D57" s="7"/>
    </row>
    <row r="58" spans="2:4">
      <c r="B58" s="7"/>
      <c r="C58" s="7"/>
      <c r="D58" s="7"/>
    </row>
    <row r="59" spans="2:4">
      <c r="B59" s="7"/>
      <c r="C59" s="7"/>
      <c r="D59" s="7"/>
    </row>
    <row r="60" spans="2:4">
      <c r="B60" s="7"/>
      <c r="C60" s="7"/>
      <c r="D60" s="7"/>
    </row>
    <row r="61" spans="2:4">
      <c r="B61" s="7"/>
      <c r="C61" s="7"/>
      <c r="D61" s="7"/>
    </row>
    <row r="62" spans="2:4">
      <c r="B62" s="7"/>
      <c r="C62" s="7"/>
      <c r="D62" s="7"/>
    </row>
    <row r="63" spans="2:4">
      <c r="B63" s="7"/>
      <c r="C63" s="7"/>
      <c r="D63" s="7"/>
    </row>
    <row r="64" spans="2:4">
      <c r="B64" s="7"/>
      <c r="C64" s="7"/>
      <c r="D64" s="7"/>
    </row>
    <row r="65" spans="2:4">
      <c r="B65" s="7"/>
      <c r="C65" s="7"/>
      <c r="D65" s="7"/>
    </row>
    <row r="66" spans="2:4">
      <c r="B66" s="7"/>
      <c r="C66" s="7"/>
      <c r="D66" s="7"/>
    </row>
    <row r="67" spans="2:4">
      <c r="B67" s="7"/>
      <c r="C67" s="7"/>
      <c r="D67" s="7"/>
    </row>
    <row r="68" spans="2:4">
      <c r="B68" s="7"/>
      <c r="C68" s="7"/>
      <c r="D68" s="7"/>
    </row>
    <row r="69" spans="2:4">
      <c r="B69" s="7"/>
      <c r="C69" s="7"/>
      <c r="D69" s="7"/>
    </row>
    <row r="70" spans="2:4">
      <c r="B70" s="7"/>
      <c r="C70" s="7"/>
      <c r="D70" s="7"/>
    </row>
    <row r="71" spans="2:4">
      <c r="B71" s="7"/>
      <c r="C71" s="7"/>
      <c r="D71" s="7"/>
    </row>
    <row r="72" spans="2:4">
      <c r="B72" s="7"/>
      <c r="C72" s="7"/>
      <c r="D72" s="7"/>
    </row>
    <row r="73" spans="2:4">
      <c r="B73" s="7"/>
      <c r="C73" s="7"/>
      <c r="D73" s="7"/>
    </row>
    <row r="74" spans="2:4">
      <c r="B74" s="7"/>
      <c r="C74" s="7"/>
      <c r="D74" s="7"/>
    </row>
    <row r="75" spans="2:4">
      <c r="B75" s="7"/>
      <c r="C75" s="7"/>
      <c r="D75" s="7"/>
    </row>
    <row r="76" spans="2:4">
      <c r="B76" s="7"/>
      <c r="C76" s="7"/>
      <c r="D76" s="7"/>
    </row>
    <row r="77" spans="2:4">
      <c r="B77" s="7"/>
      <c r="C77" s="7"/>
      <c r="D77" s="7"/>
    </row>
    <row r="78" spans="2:4">
      <c r="B78" s="7"/>
      <c r="C78" s="7"/>
      <c r="D78" s="7"/>
    </row>
    <row r="79" spans="2:4">
      <c r="B79" s="7"/>
      <c r="C79" s="7"/>
      <c r="D79" s="7"/>
    </row>
    <row r="80" spans="2:4">
      <c r="B80" s="7"/>
      <c r="C80" s="7"/>
      <c r="D80" s="7"/>
    </row>
    <row r="81" spans="2:4">
      <c r="B81" s="7"/>
      <c r="C81" s="7"/>
      <c r="D81" s="7"/>
    </row>
    <row r="82" spans="2:4">
      <c r="B82" s="7"/>
      <c r="C82" s="7"/>
      <c r="D82" s="7"/>
    </row>
    <row r="83" spans="2:4">
      <c r="B83" s="7"/>
      <c r="C83" s="7"/>
      <c r="D83" s="7"/>
    </row>
    <row r="84" spans="2:4">
      <c r="B84" s="7"/>
      <c r="C84" s="7"/>
      <c r="D84" s="7"/>
    </row>
    <row r="85" spans="2:4">
      <c r="B85" s="7"/>
      <c r="C85" s="7"/>
      <c r="D85" s="7"/>
    </row>
    <row r="86" spans="2:4">
      <c r="B86" s="7"/>
      <c r="C86" s="7"/>
      <c r="D86" s="7"/>
    </row>
    <row r="87" spans="2:4">
      <c r="B87" s="7"/>
      <c r="C87" s="7"/>
      <c r="D87" s="7"/>
    </row>
    <row r="88" spans="2:4">
      <c r="B88" s="7"/>
      <c r="C88" s="7"/>
      <c r="D88" s="7"/>
    </row>
    <row r="89" spans="2:4">
      <c r="B89" s="7"/>
      <c r="C89" s="7"/>
      <c r="D89" s="7"/>
    </row>
    <row r="90" spans="2:4">
      <c r="B90" s="7"/>
      <c r="C90" s="7"/>
      <c r="D90" s="7"/>
    </row>
    <row r="91" spans="2:4">
      <c r="B91" s="7"/>
      <c r="C91" s="7"/>
      <c r="D91" s="7"/>
    </row>
    <row r="92" spans="2:4">
      <c r="B92" s="7"/>
      <c r="C92" s="7"/>
      <c r="D92" s="7"/>
    </row>
    <row r="93" spans="2:4">
      <c r="B93" s="7"/>
      <c r="C93" s="7"/>
      <c r="D93" s="7"/>
    </row>
    <row r="94" spans="2:4">
      <c r="B94" s="7"/>
      <c r="C94" s="7"/>
      <c r="D94" s="7"/>
    </row>
    <row r="95" spans="2:4">
      <c r="B95" s="7"/>
      <c r="C95" s="7"/>
      <c r="D95" s="7"/>
    </row>
    <row r="96" spans="2:4">
      <c r="B96" s="7"/>
      <c r="C96" s="7"/>
      <c r="D96" s="7"/>
    </row>
    <row r="97" spans="2:4">
      <c r="B97" s="7"/>
      <c r="C97" s="7"/>
      <c r="D97" s="7"/>
    </row>
    <row r="98" spans="2:4">
      <c r="B98" s="7"/>
      <c r="C98" s="7"/>
      <c r="D98" s="7"/>
    </row>
    <row r="99" spans="2:4">
      <c r="B99" s="7"/>
      <c r="C99" s="7"/>
      <c r="D99" s="7"/>
    </row>
    <row r="100" spans="2:4">
      <c r="B100" s="7"/>
      <c r="C100" s="7"/>
      <c r="D100" s="7"/>
    </row>
  </sheetData>
  <mergeCells count="1">
    <mergeCell ref="A1:I1"/>
  </mergeCells>
  <conditionalFormatting sqref="G4:G11">
    <cfRule type="expression" dxfId="1" priority="1">
      <formula>G4="Action Needed"</formula>
    </cfRule>
    <cfRule type="expression" dxfId="0" priority="2">
      <formula>G4="On Track"</formula>
    </cfRule>
  </conditionalFormatting>
  <dataValidations count="1">
    <dataValidation type="list" sqref="G4:G100" xr:uid="{00000000-0002-0000-0600-000000000000}">
      <formula1>"On Track,Monitor,Action Needed"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>
      <selection sqref="A1:K1"/>
    </sheetView>
  </sheetViews>
  <sheetFormatPr defaultRowHeight="13.8"/>
  <cols>
    <col min="1" max="1" width="13" customWidth="1"/>
    <col min="2" max="2" width="14" customWidth="1"/>
    <col min="3" max="3" width="22" customWidth="1"/>
    <col min="4" max="4" width="18" customWidth="1"/>
    <col min="5" max="5" width="12" customWidth="1"/>
    <col min="6" max="6" width="36" customWidth="1"/>
    <col min="7" max="7" width="34" customWidth="1"/>
    <col min="8" max="8" width="22" customWidth="1"/>
    <col min="9" max="10" width="14" customWidth="1"/>
    <col min="11" max="11" width="36" customWidth="1"/>
  </cols>
  <sheetData>
    <row r="1" spans="1:26" ht="21">
      <c r="A1" s="11" t="s">
        <v>273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>
      <c r="A3" s="1" t="s">
        <v>274</v>
      </c>
      <c r="B3" s="1" t="s">
        <v>275</v>
      </c>
      <c r="C3" s="1" t="s">
        <v>42</v>
      </c>
      <c r="D3" s="1" t="s">
        <v>276</v>
      </c>
      <c r="E3" s="1" t="s">
        <v>277</v>
      </c>
      <c r="F3" s="1" t="s">
        <v>278</v>
      </c>
      <c r="G3" s="1" t="s">
        <v>279</v>
      </c>
      <c r="H3" s="1" t="s">
        <v>46</v>
      </c>
      <c r="I3" s="1" t="s">
        <v>4</v>
      </c>
      <c r="J3" s="1" t="s">
        <v>280</v>
      </c>
      <c r="K3" s="1" t="s">
        <v>281</v>
      </c>
    </row>
    <row r="4" spans="1:26" ht="27.6">
      <c r="A4" s="3" t="s">
        <v>282</v>
      </c>
      <c r="B4" s="4">
        <v>46176</v>
      </c>
      <c r="C4" s="3" t="s">
        <v>176</v>
      </c>
      <c r="D4" s="3" t="s">
        <v>283</v>
      </c>
      <c r="E4" s="3" t="s">
        <v>31</v>
      </c>
      <c r="F4" s="3" t="s">
        <v>284</v>
      </c>
      <c r="G4" s="3" t="s">
        <v>285</v>
      </c>
      <c r="H4" s="3" t="s">
        <v>75</v>
      </c>
      <c r="I4" s="3" t="s">
        <v>156</v>
      </c>
      <c r="J4" s="4">
        <v>46177</v>
      </c>
      <c r="K4" s="3" t="s">
        <v>286</v>
      </c>
    </row>
    <row r="5" spans="1:26">
      <c r="A5" s="3" t="s">
        <v>287</v>
      </c>
      <c r="B5" s="4">
        <v>46180</v>
      </c>
      <c r="C5" s="3" t="s">
        <v>288</v>
      </c>
      <c r="D5" s="3" t="s">
        <v>289</v>
      </c>
      <c r="E5" s="3" t="s">
        <v>29</v>
      </c>
      <c r="F5" s="3" t="s">
        <v>290</v>
      </c>
      <c r="G5" s="3" t="s">
        <v>291</v>
      </c>
      <c r="H5" s="3" t="s">
        <v>55</v>
      </c>
      <c r="I5" s="3" t="s">
        <v>156</v>
      </c>
      <c r="J5" s="4">
        <v>46181</v>
      </c>
      <c r="K5" s="3" t="s">
        <v>292</v>
      </c>
    </row>
    <row r="6" spans="1:26" ht="27.6">
      <c r="A6" s="3" t="s">
        <v>293</v>
      </c>
      <c r="B6" s="4">
        <v>46184</v>
      </c>
      <c r="C6" s="3" t="s">
        <v>179</v>
      </c>
      <c r="D6" s="3" t="s">
        <v>294</v>
      </c>
      <c r="E6" s="3" t="s">
        <v>29</v>
      </c>
      <c r="F6" s="3" t="s">
        <v>295</v>
      </c>
      <c r="G6" s="3" t="s">
        <v>296</v>
      </c>
      <c r="H6" s="3" t="s">
        <v>82</v>
      </c>
      <c r="I6" s="3" t="s">
        <v>156</v>
      </c>
      <c r="J6" s="4">
        <v>46185</v>
      </c>
      <c r="K6" s="3" t="s">
        <v>297</v>
      </c>
    </row>
    <row r="7" spans="1:26" ht="27.6">
      <c r="A7" s="3" t="s">
        <v>298</v>
      </c>
      <c r="B7" s="4">
        <v>46186</v>
      </c>
      <c r="C7" s="3" t="s">
        <v>299</v>
      </c>
      <c r="D7" s="3" t="s">
        <v>283</v>
      </c>
      <c r="E7" s="3" t="s">
        <v>31</v>
      </c>
      <c r="F7" s="3" t="s">
        <v>300</v>
      </c>
      <c r="G7" s="3" t="s">
        <v>301</v>
      </c>
      <c r="H7" s="3" t="s">
        <v>302</v>
      </c>
      <c r="I7" s="3" t="s">
        <v>139</v>
      </c>
      <c r="J7" s="4"/>
      <c r="K7" s="3" t="s">
        <v>303</v>
      </c>
    </row>
    <row r="8" spans="1:26">
      <c r="B8" s="5"/>
      <c r="J8" s="5"/>
    </row>
    <row r="9" spans="1:26">
      <c r="B9" s="5"/>
      <c r="J9" s="5"/>
    </row>
    <row r="10" spans="1:26">
      <c r="B10" s="5"/>
      <c r="J10" s="5"/>
    </row>
    <row r="11" spans="1:26">
      <c r="B11" s="5"/>
      <c r="J11" s="5"/>
    </row>
    <row r="12" spans="1:26">
      <c r="B12" s="5"/>
      <c r="J12" s="5"/>
    </row>
    <row r="13" spans="1:26">
      <c r="B13" s="5"/>
      <c r="J13" s="5"/>
    </row>
    <row r="14" spans="1:26">
      <c r="B14" s="5"/>
      <c r="J14" s="5"/>
    </row>
    <row r="15" spans="1:26">
      <c r="B15" s="5"/>
      <c r="J15" s="5"/>
    </row>
    <row r="16" spans="1:26">
      <c r="B16" s="5"/>
      <c r="J16" s="5"/>
    </row>
    <row r="17" spans="2:10">
      <c r="B17" s="5"/>
      <c r="J17" s="5"/>
    </row>
    <row r="18" spans="2:10">
      <c r="B18" s="5"/>
      <c r="J18" s="5"/>
    </row>
    <row r="19" spans="2:10">
      <c r="B19" s="5"/>
      <c r="J19" s="5"/>
    </row>
    <row r="20" spans="2:10">
      <c r="B20" s="5"/>
      <c r="J20" s="5"/>
    </row>
    <row r="21" spans="2:10">
      <c r="B21" s="5"/>
      <c r="J21" s="5"/>
    </row>
    <row r="22" spans="2:10">
      <c r="B22" s="5"/>
      <c r="J22" s="5"/>
    </row>
    <row r="23" spans="2:10">
      <c r="B23" s="5"/>
      <c r="J23" s="5"/>
    </row>
    <row r="24" spans="2:10">
      <c r="B24" s="5"/>
      <c r="J24" s="5"/>
    </row>
    <row r="25" spans="2:10">
      <c r="B25" s="5"/>
      <c r="J25" s="5"/>
    </row>
    <row r="26" spans="2:10">
      <c r="B26" s="5"/>
      <c r="J26" s="5"/>
    </row>
    <row r="27" spans="2:10">
      <c r="B27" s="5"/>
      <c r="J27" s="5"/>
    </row>
    <row r="28" spans="2:10">
      <c r="B28" s="5"/>
      <c r="J28" s="5"/>
    </row>
    <row r="29" spans="2:10">
      <c r="B29" s="5"/>
      <c r="J29" s="5"/>
    </row>
    <row r="30" spans="2:10">
      <c r="B30" s="5"/>
      <c r="J30" s="5"/>
    </row>
    <row r="31" spans="2:10">
      <c r="B31" s="5"/>
      <c r="J31" s="5"/>
    </row>
    <row r="32" spans="2:10">
      <c r="B32" s="5"/>
      <c r="J32" s="5"/>
    </row>
    <row r="33" spans="2:10">
      <c r="B33" s="5"/>
      <c r="J33" s="5"/>
    </row>
    <row r="34" spans="2:10">
      <c r="B34" s="5"/>
      <c r="J34" s="5"/>
    </row>
    <row r="35" spans="2:10">
      <c r="B35" s="5"/>
      <c r="J35" s="5"/>
    </row>
    <row r="36" spans="2:10">
      <c r="B36" s="5"/>
      <c r="J36" s="5"/>
    </row>
    <row r="37" spans="2:10">
      <c r="B37" s="5"/>
      <c r="J37" s="5"/>
    </row>
    <row r="38" spans="2:10">
      <c r="B38" s="5"/>
      <c r="J38" s="5"/>
    </row>
    <row r="39" spans="2:10">
      <c r="B39" s="5"/>
      <c r="J39" s="5"/>
    </row>
    <row r="40" spans="2:10">
      <c r="B40" s="5"/>
      <c r="J40" s="5"/>
    </row>
    <row r="41" spans="2:10">
      <c r="B41" s="5"/>
      <c r="J41" s="5"/>
    </row>
    <row r="42" spans="2:10">
      <c r="B42" s="5"/>
      <c r="J42" s="5"/>
    </row>
    <row r="43" spans="2:10">
      <c r="B43" s="5"/>
      <c r="J43" s="5"/>
    </row>
    <row r="44" spans="2:10">
      <c r="B44" s="5"/>
      <c r="J44" s="5"/>
    </row>
    <row r="45" spans="2:10">
      <c r="B45" s="5"/>
      <c r="J45" s="5"/>
    </row>
    <row r="46" spans="2:10">
      <c r="B46" s="5"/>
      <c r="J46" s="5"/>
    </row>
    <row r="47" spans="2:10">
      <c r="B47" s="5"/>
      <c r="J47" s="5"/>
    </row>
    <row r="48" spans="2:10">
      <c r="B48" s="5"/>
      <c r="J48" s="5"/>
    </row>
    <row r="49" spans="2:10">
      <c r="B49" s="5"/>
      <c r="J49" s="5"/>
    </row>
    <row r="50" spans="2:10">
      <c r="B50" s="5"/>
      <c r="J50" s="5"/>
    </row>
    <row r="51" spans="2:10">
      <c r="B51" s="5"/>
      <c r="J51" s="5"/>
    </row>
    <row r="52" spans="2:10">
      <c r="B52" s="5"/>
      <c r="J52" s="5"/>
    </row>
    <row r="53" spans="2:10">
      <c r="B53" s="5"/>
      <c r="J53" s="5"/>
    </row>
    <row r="54" spans="2:10">
      <c r="B54" s="5"/>
      <c r="J54" s="5"/>
    </row>
    <row r="55" spans="2:10">
      <c r="B55" s="5"/>
      <c r="J55" s="5"/>
    </row>
    <row r="56" spans="2:10">
      <c r="B56" s="5"/>
      <c r="J56" s="5"/>
    </row>
    <row r="57" spans="2:10">
      <c r="B57" s="5"/>
      <c r="J57" s="5"/>
    </row>
    <row r="58" spans="2:10">
      <c r="B58" s="5"/>
      <c r="J58" s="5"/>
    </row>
    <row r="59" spans="2:10">
      <c r="B59" s="5"/>
      <c r="J59" s="5"/>
    </row>
    <row r="60" spans="2:10">
      <c r="B60" s="5"/>
      <c r="J60" s="5"/>
    </row>
    <row r="61" spans="2:10">
      <c r="B61" s="5"/>
      <c r="J61" s="5"/>
    </row>
    <row r="62" spans="2:10">
      <c r="B62" s="5"/>
      <c r="J62" s="5"/>
    </row>
    <row r="63" spans="2:10">
      <c r="B63" s="5"/>
      <c r="J63" s="5"/>
    </row>
    <row r="64" spans="2:10">
      <c r="B64" s="5"/>
      <c r="J64" s="5"/>
    </row>
    <row r="65" spans="2:10">
      <c r="B65" s="5"/>
      <c r="J65" s="5"/>
    </row>
    <row r="66" spans="2:10">
      <c r="B66" s="5"/>
      <c r="J66" s="5"/>
    </row>
    <row r="67" spans="2:10">
      <c r="B67" s="5"/>
      <c r="J67" s="5"/>
    </row>
    <row r="68" spans="2:10">
      <c r="B68" s="5"/>
      <c r="J68" s="5"/>
    </row>
    <row r="69" spans="2:10">
      <c r="B69" s="5"/>
      <c r="J69" s="5"/>
    </row>
    <row r="70" spans="2:10">
      <c r="B70" s="5"/>
      <c r="J70" s="5"/>
    </row>
    <row r="71" spans="2:10">
      <c r="B71" s="5"/>
      <c r="J71" s="5"/>
    </row>
    <row r="72" spans="2:10">
      <c r="B72" s="5"/>
      <c r="J72" s="5"/>
    </row>
    <row r="73" spans="2:10">
      <c r="B73" s="5"/>
      <c r="J73" s="5"/>
    </row>
    <row r="74" spans="2:10">
      <c r="B74" s="5"/>
      <c r="J74" s="5"/>
    </row>
    <row r="75" spans="2:10">
      <c r="B75" s="5"/>
      <c r="J75" s="5"/>
    </row>
    <row r="76" spans="2:10">
      <c r="B76" s="5"/>
      <c r="J76" s="5"/>
    </row>
    <row r="77" spans="2:10">
      <c r="B77" s="5"/>
      <c r="J77" s="5"/>
    </row>
    <row r="78" spans="2:10">
      <c r="B78" s="5"/>
      <c r="J78" s="5"/>
    </row>
    <row r="79" spans="2:10">
      <c r="B79" s="5"/>
      <c r="J79" s="5"/>
    </row>
    <row r="80" spans="2:10">
      <c r="B80" s="5"/>
      <c r="J80" s="5"/>
    </row>
    <row r="81" spans="2:10">
      <c r="B81" s="5"/>
      <c r="J81" s="5"/>
    </row>
    <row r="82" spans="2:10">
      <c r="B82" s="5"/>
      <c r="J82" s="5"/>
    </row>
    <row r="83" spans="2:10">
      <c r="B83" s="5"/>
      <c r="J83" s="5"/>
    </row>
    <row r="84" spans="2:10">
      <c r="B84" s="5"/>
      <c r="J84" s="5"/>
    </row>
    <row r="85" spans="2:10">
      <c r="B85" s="5"/>
      <c r="J85" s="5"/>
    </row>
    <row r="86" spans="2:10">
      <c r="B86" s="5"/>
      <c r="J86" s="5"/>
    </row>
    <row r="87" spans="2:10">
      <c r="B87" s="5"/>
      <c r="J87" s="5"/>
    </row>
    <row r="88" spans="2:10">
      <c r="B88" s="5"/>
      <c r="J88" s="5"/>
    </row>
    <row r="89" spans="2:10">
      <c r="B89" s="5"/>
      <c r="J89" s="5"/>
    </row>
    <row r="90" spans="2:10">
      <c r="B90" s="5"/>
      <c r="J90" s="5"/>
    </row>
    <row r="91" spans="2:10">
      <c r="B91" s="5"/>
      <c r="J91" s="5"/>
    </row>
    <row r="92" spans="2:10">
      <c r="B92" s="5"/>
      <c r="J92" s="5"/>
    </row>
    <row r="93" spans="2:10">
      <c r="B93" s="5"/>
      <c r="J93" s="5"/>
    </row>
    <row r="94" spans="2:10">
      <c r="B94" s="5"/>
      <c r="J94" s="5"/>
    </row>
    <row r="95" spans="2:10">
      <c r="B95" s="5"/>
      <c r="J95" s="5"/>
    </row>
    <row r="96" spans="2:10">
      <c r="B96" s="5"/>
      <c r="J96" s="5"/>
    </row>
    <row r="97" spans="2:10">
      <c r="B97" s="5"/>
      <c r="J97" s="5"/>
    </row>
    <row r="98" spans="2:10">
      <c r="B98" s="5"/>
      <c r="J98" s="5"/>
    </row>
    <row r="99" spans="2:10">
      <c r="B99" s="5"/>
      <c r="J99" s="5"/>
    </row>
    <row r="100" spans="2:10">
      <c r="B100" s="5"/>
      <c r="J100" s="5"/>
    </row>
  </sheetData>
  <mergeCells count="1">
    <mergeCell ref="A1:K1"/>
  </mergeCells>
  <dataValidations count="1">
    <dataValidation type="list" sqref="I4:I100" xr:uid="{00000000-0002-0000-0700-000001000000}">
      <formula1>"Open,In Progress,Closed"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'Validation Lists'!$F$2:$F$5</xm:f>
          </x14:formula1>
          <xm:sqref>E4:E100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>
      <selection sqref="A1:I1"/>
    </sheetView>
  </sheetViews>
  <sheetFormatPr defaultRowHeight="13.8"/>
  <cols>
    <col min="1" max="1" width="12" customWidth="1"/>
    <col min="2" max="2" width="24" customWidth="1"/>
    <col min="3" max="3" width="32" customWidth="1"/>
    <col min="4" max="4" width="18" customWidth="1"/>
    <col min="5" max="6" width="16" customWidth="1"/>
    <col min="7" max="7" width="14" customWidth="1"/>
    <col min="8" max="8" width="22" customWidth="1"/>
    <col min="9" max="9" width="24" customWidth="1"/>
  </cols>
  <sheetData>
    <row r="1" spans="1:26" ht="21">
      <c r="A1" s="11" t="s">
        <v>304</v>
      </c>
      <c r="B1" s="12"/>
      <c r="C1" s="12"/>
      <c r="D1" s="12"/>
      <c r="E1" s="12"/>
      <c r="F1" s="12"/>
      <c r="G1" s="12"/>
      <c r="H1" s="12"/>
      <c r="I1" s="1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 ht="27.6">
      <c r="A3" s="1" t="s">
        <v>305</v>
      </c>
      <c r="B3" s="1" t="s">
        <v>306</v>
      </c>
      <c r="C3" s="1" t="s">
        <v>307</v>
      </c>
      <c r="D3" s="1" t="s">
        <v>308</v>
      </c>
      <c r="E3" s="1" t="s">
        <v>309</v>
      </c>
      <c r="F3" s="1" t="s">
        <v>310</v>
      </c>
      <c r="G3" s="1" t="s">
        <v>4</v>
      </c>
      <c r="H3" s="1" t="s">
        <v>311</v>
      </c>
      <c r="I3" s="1" t="s">
        <v>312</v>
      </c>
    </row>
    <row r="4" spans="1:26">
      <c r="A4" s="3" t="s">
        <v>313</v>
      </c>
      <c r="B4" s="3" t="s">
        <v>55</v>
      </c>
      <c r="C4" s="3" t="s">
        <v>314</v>
      </c>
      <c r="D4" s="3" t="s">
        <v>315</v>
      </c>
      <c r="E4" s="4">
        <v>46091</v>
      </c>
      <c r="F4" s="4">
        <v>46456</v>
      </c>
      <c r="G4" s="3" t="s">
        <v>316</v>
      </c>
      <c r="H4" s="3" t="s">
        <v>317</v>
      </c>
      <c r="I4" s="3" t="s">
        <v>61</v>
      </c>
    </row>
    <row r="5" spans="1:26">
      <c r="A5" s="3" t="s">
        <v>318</v>
      </c>
      <c r="B5" s="3" t="s">
        <v>68</v>
      </c>
      <c r="C5" s="3" t="s">
        <v>319</v>
      </c>
      <c r="D5" s="3" t="s">
        <v>315</v>
      </c>
      <c r="E5" s="4">
        <v>46124</v>
      </c>
      <c r="F5" s="4">
        <v>46489</v>
      </c>
      <c r="G5" s="3" t="s">
        <v>316</v>
      </c>
      <c r="H5" s="3" t="s">
        <v>317</v>
      </c>
      <c r="I5" s="3" t="s">
        <v>82</v>
      </c>
    </row>
    <row r="6" spans="1:26">
      <c r="A6" s="3" t="s">
        <v>320</v>
      </c>
      <c r="B6" s="3" t="s">
        <v>75</v>
      </c>
      <c r="C6" s="3" t="s">
        <v>34</v>
      </c>
      <c r="D6" s="3" t="s">
        <v>315</v>
      </c>
      <c r="E6" s="4">
        <v>46073</v>
      </c>
      <c r="F6" s="4">
        <v>46438</v>
      </c>
      <c r="G6" s="3" t="s">
        <v>316</v>
      </c>
      <c r="H6" s="3" t="s">
        <v>317</v>
      </c>
      <c r="I6" s="3" t="s">
        <v>321</v>
      </c>
    </row>
    <row r="7" spans="1:26">
      <c r="A7" s="3" t="s">
        <v>322</v>
      </c>
      <c r="B7" s="3" t="s">
        <v>94</v>
      </c>
      <c r="C7" s="3" t="s">
        <v>323</v>
      </c>
      <c r="D7" s="3" t="s">
        <v>315</v>
      </c>
      <c r="E7" s="4">
        <v>46143</v>
      </c>
      <c r="F7" s="4">
        <v>46508</v>
      </c>
      <c r="G7" s="3" t="s">
        <v>316</v>
      </c>
      <c r="H7" s="3" t="s">
        <v>317</v>
      </c>
      <c r="I7" s="3" t="s">
        <v>82</v>
      </c>
    </row>
    <row r="8" spans="1:26">
      <c r="A8" s="3" t="s">
        <v>324</v>
      </c>
      <c r="B8" s="3" t="s">
        <v>325</v>
      </c>
      <c r="C8" s="3" t="s">
        <v>326</v>
      </c>
      <c r="D8" s="3" t="s">
        <v>315</v>
      </c>
      <c r="E8" s="4"/>
      <c r="F8" s="4">
        <v>46203</v>
      </c>
      <c r="G8" s="3" t="s">
        <v>327</v>
      </c>
      <c r="H8" s="3" t="s">
        <v>328</v>
      </c>
      <c r="I8" s="3" t="s">
        <v>82</v>
      </c>
    </row>
    <row r="9" spans="1:26">
      <c r="E9" s="5"/>
      <c r="F9" s="5"/>
    </row>
    <row r="10" spans="1:26">
      <c r="E10" s="5"/>
      <c r="F10" s="5"/>
    </row>
    <row r="11" spans="1:26">
      <c r="E11" s="5"/>
      <c r="F11" s="5"/>
    </row>
    <row r="12" spans="1:26">
      <c r="E12" s="5"/>
      <c r="F12" s="5"/>
    </row>
    <row r="13" spans="1:26">
      <c r="E13" s="5"/>
      <c r="F13" s="5"/>
    </row>
    <row r="14" spans="1:26">
      <c r="E14" s="5"/>
      <c r="F14" s="5"/>
    </row>
    <row r="15" spans="1:26">
      <c r="E15" s="5"/>
      <c r="F15" s="5"/>
    </row>
    <row r="16" spans="1:26">
      <c r="E16" s="5"/>
      <c r="F16" s="5"/>
    </row>
    <row r="17" spans="5:6">
      <c r="E17" s="5"/>
      <c r="F17" s="5"/>
    </row>
    <row r="18" spans="5:6">
      <c r="E18" s="5"/>
      <c r="F18" s="5"/>
    </row>
    <row r="19" spans="5:6">
      <c r="E19" s="5"/>
      <c r="F19" s="5"/>
    </row>
    <row r="20" spans="5:6">
      <c r="E20" s="5"/>
      <c r="F20" s="5"/>
    </row>
    <row r="21" spans="5:6">
      <c r="E21" s="5"/>
      <c r="F21" s="5"/>
    </row>
    <row r="22" spans="5:6">
      <c r="E22" s="5"/>
      <c r="F22" s="5"/>
    </row>
    <row r="23" spans="5:6">
      <c r="E23" s="5"/>
      <c r="F23" s="5"/>
    </row>
    <row r="24" spans="5:6">
      <c r="E24" s="5"/>
      <c r="F24" s="5"/>
    </row>
    <row r="25" spans="5:6">
      <c r="E25" s="5"/>
      <c r="F25" s="5"/>
    </row>
    <row r="26" spans="5:6">
      <c r="E26" s="5"/>
      <c r="F26" s="5"/>
    </row>
    <row r="27" spans="5:6">
      <c r="E27" s="5"/>
      <c r="F27" s="5"/>
    </row>
    <row r="28" spans="5:6">
      <c r="E28" s="5"/>
      <c r="F28" s="5"/>
    </row>
    <row r="29" spans="5:6">
      <c r="E29" s="5"/>
      <c r="F29" s="5"/>
    </row>
    <row r="30" spans="5:6">
      <c r="E30" s="5"/>
      <c r="F30" s="5"/>
    </row>
    <row r="31" spans="5:6">
      <c r="E31" s="5"/>
      <c r="F31" s="5"/>
    </row>
    <row r="32" spans="5:6">
      <c r="E32" s="5"/>
      <c r="F32" s="5"/>
    </row>
    <row r="33" spans="5:6">
      <c r="E33" s="5"/>
      <c r="F33" s="5"/>
    </row>
    <row r="34" spans="5:6">
      <c r="E34" s="5"/>
      <c r="F34" s="5"/>
    </row>
    <row r="35" spans="5:6">
      <c r="E35" s="5"/>
      <c r="F35" s="5"/>
    </row>
    <row r="36" spans="5:6">
      <c r="E36" s="5"/>
      <c r="F36" s="5"/>
    </row>
    <row r="37" spans="5:6">
      <c r="E37" s="5"/>
      <c r="F37" s="5"/>
    </row>
    <row r="38" spans="5:6">
      <c r="E38" s="5"/>
      <c r="F38" s="5"/>
    </row>
    <row r="39" spans="5:6">
      <c r="E39" s="5"/>
      <c r="F39" s="5"/>
    </row>
    <row r="40" spans="5:6">
      <c r="E40" s="5"/>
      <c r="F40" s="5"/>
    </row>
    <row r="41" spans="5:6">
      <c r="E41" s="5"/>
      <c r="F41" s="5"/>
    </row>
    <row r="42" spans="5:6">
      <c r="E42" s="5"/>
      <c r="F42" s="5"/>
    </row>
    <row r="43" spans="5:6">
      <c r="E43" s="5"/>
      <c r="F43" s="5"/>
    </row>
    <row r="44" spans="5:6">
      <c r="E44" s="5"/>
      <c r="F44" s="5"/>
    </row>
    <row r="45" spans="5:6">
      <c r="E45" s="5"/>
      <c r="F45" s="5"/>
    </row>
    <row r="46" spans="5:6">
      <c r="E46" s="5"/>
      <c r="F46" s="5"/>
    </row>
    <row r="47" spans="5:6">
      <c r="E47" s="5"/>
      <c r="F47" s="5"/>
    </row>
    <row r="48" spans="5:6">
      <c r="E48" s="5"/>
      <c r="F48" s="5"/>
    </row>
    <row r="49" spans="5:6">
      <c r="E49" s="5"/>
      <c r="F49" s="5"/>
    </row>
    <row r="50" spans="5:6">
      <c r="E50" s="5"/>
      <c r="F50" s="5"/>
    </row>
    <row r="51" spans="5:6">
      <c r="E51" s="5"/>
      <c r="F51" s="5"/>
    </row>
    <row r="52" spans="5:6">
      <c r="E52" s="5"/>
      <c r="F52" s="5"/>
    </row>
    <row r="53" spans="5:6">
      <c r="E53" s="5"/>
      <c r="F53" s="5"/>
    </row>
    <row r="54" spans="5:6">
      <c r="E54" s="5"/>
      <c r="F54" s="5"/>
    </row>
    <row r="55" spans="5:6">
      <c r="E55" s="5"/>
      <c r="F55" s="5"/>
    </row>
    <row r="56" spans="5:6">
      <c r="E56" s="5"/>
      <c r="F56" s="5"/>
    </row>
    <row r="57" spans="5:6">
      <c r="E57" s="5"/>
      <c r="F57" s="5"/>
    </row>
    <row r="58" spans="5:6">
      <c r="E58" s="5"/>
      <c r="F58" s="5"/>
    </row>
    <row r="59" spans="5:6">
      <c r="E59" s="5"/>
      <c r="F59" s="5"/>
    </row>
    <row r="60" spans="5:6">
      <c r="E60" s="5"/>
      <c r="F60" s="5"/>
    </row>
    <row r="61" spans="5:6">
      <c r="E61" s="5"/>
      <c r="F61" s="5"/>
    </row>
    <row r="62" spans="5:6">
      <c r="E62" s="5"/>
      <c r="F62" s="5"/>
    </row>
    <row r="63" spans="5:6">
      <c r="E63" s="5"/>
      <c r="F63" s="5"/>
    </row>
    <row r="64" spans="5:6">
      <c r="E64" s="5"/>
      <c r="F64" s="5"/>
    </row>
    <row r="65" spans="5:6">
      <c r="E65" s="5"/>
      <c r="F65" s="5"/>
    </row>
    <row r="66" spans="5:6">
      <c r="E66" s="5"/>
      <c r="F66" s="5"/>
    </row>
    <row r="67" spans="5:6">
      <c r="E67" s="5"/>
      <c r="F67" s="5"/>
    </row>
    <row r="68" spans="5:6">
      <c r="E68" s="5"/>
      <c r="F68" s="5"/>
    </row>
    <row r="69" spans="5:6">
      <c r="E69" s="5"/>
      <c r="F69" s="5"/>
    </row>
    <row r="70" spans="5:6">
      <c r="E70" s="5"/>
      <c r="F70" s="5"/>
    </row>
    <row r="71" spans="5:6">
      <c r="E71" s="5"/>
      <c r="F71" s="5"/>
    </row>
    <row r="72" spans="5:6">
      <c r="E72" s="5"/>
      <c r="F72" s="5"/>
    </row>
    <row r="73" spans="5:6">
      <c r="E73" s="5"/>
      <c r="F73" s="5"/>
    </row>
    <row r="74" spans="5:6">
      <c r="E74" s="5"/>
      <c r="F74" s="5"/>
    </row>
    <row r="75" spans="5:6">
      <c r="E75" s="5"/>
      <c r="F75" s="5"/>
    </row>
    <row r="76" spans="5:6">
      <c r="E76" s="5"/>
      <c r="F76" s="5"/>
    </row>
    <row r="77" spans="5:6">
      <c r="E77" s="5"/>
      <c r="F77" s="5"/>
    </row>
    <row r="78" spans="5:6">
      <c r="E78" s="5"/>
      <c r="F78" s="5"/>
    </row>
    <row r="79" spans="5:6">
      <c r="E79" s="5"/>
      <c r="F79" s="5"/>
    </row>
    <row r="80" spans="5:6">
      <c r="E80" s="5"/>
      <c r="F80" s="5"/>
    </row>
    <row r="81" spans="5:6">
      <c r="E81" s="5"/>
      <c r="F81" s="5"/>
    </row>
    <row r="82" spans="5:6">
      <c r="E82" s="5"/>
      <c r="F82" s="5"/>
    </row>
    <row r="83" spans="5:6">
      <c r="E83" s="5"/>
      <c r="F83" s="5"/>
    </row>
    <row r="84" spans="5:6">
      <c r="E84" s="5"/>
      <c r="F84" s="5"/>
    </row>
    <row r="85" spans="5:6">
      <c r="E85" s="5"/>
      <c r="F85" s="5"/>
    </row>
    <row r="86" spans="5:6">
      <c r="E86" s="5"/>
      <c r="F86" s="5"/>
    </row>
    <row r="87" spans="5:6">
      <c r="E87" s="5"/>
      <c r="F87" s="5"/>
    </row>
    <row r="88" spans="5:6">
      <c r="E88" s="5"/>
      <c r="F88" s="5"/>
    </row>
    <row r="89" spans="5:6">
      <c r="E89" s="5"/>
      <c r="F89" s="5"/>
    </row>
    <row r="90" spans="5:6">
      <c r="E90" s="5"/>
      <c r="F90" s="5"/>
    </row>
    <row r="91" spans="5:6">
      <c r="E91" s="5"/>
      <c r="F91" s="5"/>
    </row>
    <row r="92" spans="5:6">
      <c r="E92" s="5"/>
      <c r="F92" s="5"/>
    </row>
    <row r="93" spans="5:6">
      <c r="E93" s="5"/>
      <c r="F93" s="5"/>
    </row>
    <row r="94" spans="5:6">
      <c r="E94" s="5"/>
      <c r="F94" s="5"/>
    </row>
    <row r="95" spans="5:6">
      <c r="E95" s="5"/>
      <c r="F95" s="5"/>
    </row>
    <row r="96" spans="5:6">
      <c r="E96" s="5"/>
      <c r="F96" s="5"/>
    </row>
    <row r="97" spans="5:6">
      <c r="E97" s="5"/>
      <c r="F97" s="5"/>
    </row>
    <row r="98" spans="5:6">
      <c r="E98" s="5"/>
      <c r="F98" s="5"/>
    </row>
    <row r="99" spans="5:6">
      <c r="E99" s="5"/>
      <c r="F99" s="5"/>
    </row>
    <row r="100" spans="5:6">
      <c r="E100" s="5"/>
      <c r="F100" s="5"/>
    </row>
  </sheetData>
  <mergeCells count="1">
    <mergeCell ref="A1:I1"/>
  </mergeCells>
  <dataValidations count="1">
    <dataValidation type="list" sqref="G4:G100" xr:uid="{00000000-0002-0000-0800-000001000000}">
      <formula1>"Complete,Pending,Expired"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800-000000000000}">
          <x14:formula1>
            <xm:f>'Validation Lists'!$C$2:$C$7</xm:f>
          </x14:formula1>
          <xm:sqref>D4:D100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"/>
  <sheetViews>
    <sheetView workbookViewId="0">
      <selection sqref="A1:J1"/>
    </sheetView>
  </sheetViews>
  <sheetFormatPr defaultRowHeight="13.8"/>
  <cols>
    <col min="1" max="1" width="12" customWidth="1"/>
    <col min="2" max="2" width="34" customWidth="1"/>
    <col min="3" max="3" width="18" customWidth="1"/>
    <col min="4" max="4" width="24" customWidth="1"/>
    <col min="5" max="5" width="10" customWidth="1"/>
    <col min="6" max="6" width="14" customWidth="1"/>
    <col min="7" max="7" width="16" customWidth="1"/>
    <col min="8" max="8" width="24" customWidth="1"/>
    <col min="9" max="9" width="14" customWidth="1"/>
    <col min="10" max="10" width="22" customWidth="1"/>
  </cols>
  <sheetData>
    <row r="1" spans="1:26" ht="21">
      <c r="A1" s="11" t="s">
        <v>329</v>
      </c>
      <c r="B1" s="12"/>
      <c r="C1" s="12"/>
      <c r="D1" s="12"/>
      <c r="E1" s="12"/>
      <c r="F1" s="12"/>
      <c r="G1" s="12"/>
      <c r="H1" s="12"/>
      <c r="I1" s="12"/>
      <c r="J1" s="12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 ht="27.6">
      <c r="A3" s="1" t="s">
        <v>330</v>
      </c>
      <c r="B3" s="1" t="s">
        <v>331</v>
      </c>
      <c r="C3" s="1" t="s">
        <v>332</v>
      </c>
      <c r="D3" s="1" t="s">
        <v>46</v>
      </c>
      <c r="E3" s="1" t="s">
        <v>226</v>
      </c>
      <c r="F3" s="1" t="s">
        <v>333</v>
      </c>
      <c r="G3" s="1" t="s">
        <v>48</v>
      </c>
      <c r="H3" s="1" t="s">
        <v>334</v>
      </c>
      <c r="I3" s="1" t="s">
        <v>4</v>
      </c>
      <c r="J3" s="1" t="s">
        <v>335</v>
      </c>
    </row>
    <row r="4" spans="1:26">
      <c r="A4" s="3" t="s">
        <v>336</v>
      </c>
      <c r="B4" s="3" t="s">
        <v>337</v>
      </c>
      <c r="C4" s="3" t="s">
        <v>338</v>
      </c>
      <c r="D4" s="3" t="s">
        <v>61</v>
      </c>
      <c r="E4" s="3" t="s">
        <v>232</v>
      </c>
      <c r="F4" s="4">
        <v>46174</v>
      </c>
      <c r="G4" s="4">
        <v>46357</v>
      </c>
      <c r="H4" s="3" t="s">
        <v>82</v>
      </c>
      <c r="I4" s="3" t="s">
        <v>233</v>
      </c>
      <c r="J4" s="3" t="s">
        <v>339</v>
      </c>
    </row>
    <row r="5" spans="1:26">
      <c r="A5" s="3" t="s">
        <v>340</v>
      </c>
      <c r="B5" s="3" t="s">
        <v>41</v>
      </c>
      <c r="C5" s="3" t="s">
        <v>341</v>
      </c>
      <c r="D5" s="3" t="s">
        <v>94</v>
      </c>
      <c r="E5" s="3" t="s">
        <v>232</v>
      </c>
      <c r="F5" s="4">
        <v>46174</v>
      </c>
      <c r="G5" s="4">
        <v>46266</v>
      </c>
      <c r="H5" s="3" t="s">
        <v>82</v>
      </c>
      <c r="I5" s="3" t="s">
        <v>233</v>
      </c>
      <c r="J5" s="3" t="s">
        <v>342</v>
      </c>
    </row>
    <row r="6" spans="1:26">
      <c r="A6" s="3" t="s">
        <v>343</v>
      </c>
      <c r="B6" s="3" t="s">
        <v>126</v>
      </c>
      <c r="C6" s="3" t="s">
        <v>344</v>
      </c>
      <c r="D6" s="3" t="s">
        <v>94</v>
      </c>
      <c r="E6" s="3" t="s">
        <v>232</v>
      </c>
      <c r="F6" s="4">
        <v>46174</v>
      </c>
      <c r="G6" s="4">
        <v>46266</v>
      </c>
      <c r="H6" s="3" t="s">
        <v>82</v>
      </c>
      <c r="I6" s="3" t="s">
        <v>233</v>
      </c>
      <c r="J6" s="3" t="s">
        <v>342</v>
      </c>
    </row>
    <row r="7" spans="1:26">
      <c r="A7" s="3" t="s">
        <v>345</v>
      </c>
      <c r="B7" s="3" t="s">
        <v>163</v>
      </c>
      <c r="C7" s="3" t="s">
        <v>346</v>
      </c>
      <c r="D7" s="3" t="s">
        <v>94</v>
      </c>
      <c r="E7" s="3" t="s">
        <v>232</v>
      </c>
      <c r="F7" s="4">
        <v>46174</v>
      </c>
      <c r="G7" s="4">
        <v>46266</v>
      </c>
      <c r="H7" s="3" t="s">
        <v>82</v>
      </c>
      <c r="I7" s="3" t="s">
        <v>233</v>
      </c>
      <c r="J7" s="3" t="s">
        <v>347</v>
      </c>
    </row>
    <row r="8" spans="1:26">
      <c r="A8" s="3" t="s">
        <v>348</v>
      </c>
      <c r="B8" s="3" t="s">
        <v>190</v>
      </c>
      <c r="C8" s="3" t="s">
        <v>346</v>
      </c>
      <c r="D8" s="3" t="s">
        <v>94</v>
      </c>
      <c r="E8" s="3" t="s">
        <v>232</v>
      </c>
      <c r="F8" s="4">
        <v>46174</v>
      </c>
      <c r="G8" s="4">
        <v>46266</v>
      </c>
      <c r="H8" s="3" t="s">
        <v>82</v>
      </c>
      <c r="I8" s="3" t="s">
        <v>233</v>
      </c>
      <c r="J8" s="3" t="s">
        <v>347</v>
      </c>
    </row>
    <row r="9" spans="1:26">
      <c r="F9" s="5"/>
      <c r="G9" s="5"/>
    </row>
    <row r="10" spans="1:26">
      <c r="F10" s="5"/>
      <c r="G10" s="5"/>
    </row>
    <row r="11" spans="1:26">
      <c r="F11" s="5"/>
      <c r="G11" s="5"/>
    </row>
    <row r="12" spans="1:26">
      <c r="F12" s="5"/>
      <c r="G12" s="5"/>
    </row>
    <row r="13" spans="1:26">
      <c r="F13" s="5"/>
      <c r="G13" s="5"/>
    </row>
    <row r="14" spans="1:26">
      <c r="F14" s="5"/>
      <c r="G14" s="5"/>
    </row>
    <row r="15" spans="1:26">
      <c r="F15" s="5"/>
      <c r="G15" s="5"/>
    </row>
    <row r="16" spans="1:26">
      <c r="F16" s="5"/>
      <c r="G16" s="5"/>
    </row>
    <row r="17" spans="6:7">
      <c r="F17" s="5"/>
      <c r="G17" s="5"/>
    </row>
    <row r="18" spans="6:7">
      <c r="F18" s="5"/>
      <c r="G18" s="5"/>
    </row>
    <row r="19" spans="6:7">
      <c r="F19" s="5"/>
      <c r="G19" s="5"/>
    </row>
    <row r="20" spans="6:7">
      <c r="F20" s="5"/>
      <c r="G20" s="5"/>
    </row>
    <row r="21" spans="6:7">
      <c r="F21" s="5"/>
      <c r="G21" s="5"/>
    </row>
    <row r="22" spans="6:7">
      <c r="F22" s="5"/>
      <c r="G22" s="5"/>
    </row>
    <row r="23" spans="6:7">
      <c r="F23" s="5"/>
      <c r="G23" s="5"/>
    </row>
    <row r="24" spans="6:7">
      <c r="F24" s="5"/>
      <c r="G24" s="5"/>
    </row>
    <row r="25" spans="6:7">
      <c r="F25" s="5"/>
      <c r="G25" s="5"/>
    </row>
    <row r="26" spans="6:7">
      <c r="F26" s="5"/>
      <c r="G26" s="5"/>
    </row>
    <row r="27" spans="6:7">
      <c r="F27" s="5"/>
      <c r="G27" s="5"/>
    </row>
    <row r="28" spans="6:7">
      <c r="F28" s="5"/>
      <c r="G28" s="5"/>
    </row>
    <row r="29" spans="6:7">
      <c r="F29" s="5"/>
      <c r="G29" s="5"/>
    </row>
    <row r="30" spans="6:7">
      <c r="F30" s="5"/>
      <c r="G30" s="5"/>
    </row>
    <row r="31" spans="6:7">
      <c r="F31" s="5"/>
      <c r="G31" s="5"/>
    </row>
    <row r="32" spans="6:7">
      <c r="F32" s="5"/>
      <c r="G32" s="5"/>
    </row>
    <row r="33" spans="6:7">
      <c r="F33" s="5"/>
      <c r="G33" s="5"/>
    </row>
    <row r="34" spans="6:7">
      <c r="F34" s="5"/>
      <c r="G34" s="5"/>
    </row>
    <row r="35" spans="6:7">
      <c r="F35" s="5"/>
      <c r="G35" s="5"/>
    </row>
    <row r="36" spans="6:7">
      <c r="F36" s="5"/>
      <c r="G36" s="5"/>
    </row>
    <row r="37" spans="6:7">
      <c r="F37" s="5"/>
      <c r="G37" s="5"/>
    </row>
    <row r="38" spans="6:7">
      <c r="F38" s="5"/>
      <c r="G38" s="5"/>
    </row>
    <row r="39" spans="6:7">
      <c r="F39" s="5"/>
      <c r="G39" s="5"/>
    </row>
    <row r="40" spans="6:7">
      <c r="F40" s="5"/>
      <c r="G40" s="5"/>
    </row>
    <row r="41" spans="6:7">
      <c r="F41" s="5"/>
      <c r="G41" s="5"/>
    </row>
    <row r="42" spans="6:7">
      <c r="F42" s="5"/>
      <c r="G42" s="5"/>
    </row>
    <row r="43" spans="6:7">
      <c r="F43" s="5"/>
      <c r="G43" s="5"/>
    </row>
    <row r="44" spans="6:7">
      <c r="F44" s="5"/>
      <c r="G44" s="5"/>
    </row>
    <row r="45" spans="6:7">
      <c r="F45" s="5"/>
      <c r="G45" s="5"/>
    </row>
    <row r="46" spans="6:7">
      <c r="F46" s="5"/>
      <c r="G46" s="5"/>
    </row>
    <row r="47" spans="6:7">
      <c r="F47" s="5"/>
      <c r="G47" s="5"/>
    </row>
    <row r="48" spans="6:7">
      <c r="F48" s="5"/>
      <c r="G48" s="5"/>
    </row>
    <row r="49" spans="6:7">
      <c r="F49" s="5"/>
      <c r="G49" s="5"/>
    </row>
    <row r="50" spans="6:7">
      <c r="F50" s="5"/>
      <c r="G50" s="5"/>
    </row>
    <row r="51" spans="6:7">
      <c r="F51" s="5"/>
      <c r="G51" s="5"/>
    </row>
    <row r="52" spans="6:7">
      <c r="F52" s="5"/>
      <c r="G52" s="5"/>
    </row>
    <row r="53" spans="6:7">
      <c r="F53" s="5"/>
      <c r="G53" s="5"/>
    </row>
    <row r="54" spans="6:7">
      <c r="F54" s="5"/>
      <c r="G54" s="5"/>
    </row>
    <row r="55" spans="6:7">
      <c r="F55" s="5"/>
      <c r="G55" s="5"/>
    </row>
    <row r="56" spans="6:7">
      <c r="F56" s="5"/>
      <c r="G56" s="5"/>
    </row>
    <row r="57" spans="6:7">
      <c r="F57" s="5"/>
      <c r="G57" s="5"/>
    </row>
    <row r="58" spans="6:7">
      <c r="F58" s="5"/>
      <c r="G58" s="5"/>
    </row>
    <row r="59" spans="6:7">
      <c r="F59" s="5"/>
      <c r="G59" s="5"/>
    </row>
    <row r="60" spans="6:7">
      <c r="F60" s="5"/>
      <c r="G60" s="5"/>
    </row>
    <row r="61" spans="6:7">
      <c r="F61" s="5"/>
      <c r="G61" s="5"/>
    </row>
    <row r="62" spans="6:7">
      <c r="F62" s="5"/>
      <c r="G62" s="5"/>
    </row>
    <row r="63" spans="6:7">
      <c r="F63" s="5"/>
      <c r="G63" s="5"/>
    </row>
    <row r="64" spans="6:7">
      <c r="F64" s="5"/>
      <c r="G64" s="5"/>
    </row>
    <row r="65" spans="6:7">
      <c r="F65" s="5"/>
      <c r="G65" s="5"/>
    </row>
    <row r="66" spans="6:7">
      <c r="F66" s="5"/>
      <c r="G66" s="5"/>
    </row>
    <row r="67" spans="6:7">
      <c r="F67" s="5"/>
      <c r="G67" s="5"/>
    </row>
    <row r="68" spans="6:7">
      <c r="F68" s="5"/>
      <c r="G68" s="5"/>
    </row>
    <row r="69" spans="6:7">
      <c r="F69" s="5"/>
      <c r="G69" s="5"/>
    </row>
    <row r="70" spans="6:7">
      <c r="F70" s="5"/>
      <c r="G70" s="5"/>
    </row>
    <row r="71" spans="6:7">
      <c r="F71" s="5"/>
      <c r="G71" s="5"/>
    </row>
    <row r="72" spans="6:7">
      <c r="F72" s="5"/>
      <c r="G72" s="5"/>
    </row>
    <row r="73" spans="6:7">
      <c r="F73" s="5"/>
      <c r="G73" s="5"/>
    </row>
    <row r="74" spans="6:7">
      <c r="F74" s="5"/>
      <c r="G74" s="5"/>
    </row>
    <row r="75" spans="6:7">
      <c r="F75" s="5"/>
      <c r="G75" s="5"/>
    </row>
    <row r="76" spans="6:7">
      <c r="F76" s="5"/>
      <c r="G76" s="5"/>
    </row>
    <row r="77" spans="6:7">
      <c r="F77" s="5"/>
      <c r="G77" s="5"/>
    </row>
    <row r="78" spans="6:7">
      <c r="F78" s="5"/>
      <c r="G78" s="5"/>
    </row>
    <row r="79" spans="6:7">
      <c r="F79" s="5"/>
      <c r="G79" s="5"/>
    </row>
    <row r="80" spans="6:7">
      <c r="F80" s="5"/>
      <c r="G80" s="5"/>
    </row>
    <row r="81" spans="6:7">
      <c r="F81" s="5"/>
      <c r="G81" s="5"/>
    </row>
    <row r="82" spans="6:7">
      <c r="F82" s="5"/>
      <c r="G82" s="5"/>
    </row>
    <row r="83" spans="6:7">
      <c r="F83" s="5"/>
      <c r="G83" s="5"/>
    </row>
    <row r="84" spans="6:7">
      <c r="F84" s="5"/>
      <c r="G84" s="5"/>
    </row>
    <row r="85" spans="6:7">
      <c r="F85" s="5"/>
      <c r="G85" s="5"/>
    </row>
    <row r="86" spans="6:7">
      <c r="F86" s="5"/>
      <c r="G86" s="5"/>
    </row>
    <row r="87" spans="6:7">
      <c r="F87" s="5"/>
      <c r="G87" s="5"/>
    </row>
    <row r="88" spans="6:7">
      <c r="F88" s="5"/>
      <c r="G88" s="5"/>
    </row>
    <row r="89" spans="6:7">
      <c r="F89" s="5"/>
      <c r="G89" s="5"/>
    </row>
    <row r="90" spans="6:7">
      <c r="F90" s="5"/>
      <c r="G90" s="5"/>
    </row>
    <row r="91" spans="6:7">
      <c r="F91" s="5"/>
      <c r="G91" s="5"/>
    </row>
    <row r="92" spans="6:7">
      <c r="F92" s="5"/>
      <c r="G92" s="5"/>
    </row>
    <row r="93" spans="6:7">
      <c r="F93" s="5"/>
      <c r="G93" s="5"/>
    </row>
    <row r="94" spans="6:7">
      <c r="F94" s="5"/>
      <c r="G94" s="5"/>
    </row>
    <row r="95" spans="6:7">
      <c r="F95" s="5"/>
      <c r="G95" s="5"/>
    </row>
    <row r="96" spans="6:7">
      <c r="F96" s="5"/>
      <c r="G96" s="5"/>
    </row>
    <row r="97" spans="6:7">
      <c r="F97" s="5"/>
      <c r="G97" s="5"/>
    </row>
    <row r="98" spans="6:7">
      <c r="F98" s="5"/>
      <c r="G98" s="5"/>
    </row>
    <row r="99" spans="6:7">
      <c r="F99" s="5"/>
      <c r="G99" s="5"/>
    </row>
    <row r="100" spans="6:7">
      <c r="F100" s="5"/>
      <c r="G100" s="5"/>
    </row>
  </sheetData>
  <mergeCells count="1">
    <mergeCell ref="A1:J1"/>
  </mergeCells>
  <dataValidations count="1">
    <dataValidation type="list" sqref="I4:I100" xr:uid="{00000000-0002-0000-0900-000000000000}">
      <formula1>"Draft,Approved,Under Review,Archived"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"/>
  <sheetViews>
    <sheetView workbookViewId="0">
      <selection sqref="A1:F1"/>
    </sheetView>
  </sheetViews>
  <sheetFormatPr defaultRowHeight="13.8"/>
  <cols>
    <col min="1" max="1" width="8" customWidth="1"/>
    <col min="2" max="2" width="22" customWidth="1"/>
    <col min="3" max="3" width="42" customWidth="1"/>
    <col min="4" max="4" width="24" customWidth="1"/>
    <col min="5" max="5" width="22" customWidth="1"/>
    <col min="6" max="6" width="30" customWidth="1"/>
  </cols>
  <sheetData>
    <row r="1" spans="1:26" ht="21">
      <c r="A1" s="11" t="s">
        <v>349</v>
      </c>
      <c r="B1" s="12"/>
      <c r="C1" s="12"/>
      <c r="D1" s="12"/>
      <c r="E1" s="12"/>
      <c r="F1" s="12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>
      <c r="A3" s="1" t="s">
        <v>350</v>
      </c>
      <c r="B3" s="1" t="s">
        <v>351</v>
      </c>
      <c r="C3" s="1" t="s">
        <v>352</v>
      </c>
      <c r="D3" s="1" t="s">
        <v>353</v>
      </c>
      <c r="E3" s="1" t="s">
        <v>354</v>
      </c>
      <c r="F3" s="1" t="s">
        <v>355</v>
      </c>
    </row>
    <row r="4" spans="1:26">
      <c r="A4" s="3">
        <v>1</v>
      </c>
      <c r="B4" s="3" t="s">
        <v>356</v>
      </c>
      <c r="C4" s="3" t="s">
        <v>357</v>
      </c>
      <c r="D4" s="3" t="s">
        <v>94</v>
      </c>
      <c r="E4" s="3" t="s">
        <v>358</v>
      </c>
      <c r="F4" s="3" t="s">
        <v>359</v>
      </c>
    </row>
    <row r="5" spans="1:26">
      <c r="A5" s="3">
        <v>2</v>
      </c>
      <c r="B5" s="3" t="s">
        <v>360</v>
      </c>
      <c r="C5" s="3" t="s">
        <v>361</v>
      </c>
      <c r="D5" s="3" t="s">
        <v>362</v>
      </c>
      <c r="E5" s="3" t="s">
        <v>363</v>
      </c>
      <c r="F5" s="3" t="s">
        <v>364</v>
      </c>
    </row>
    <row r="6" spans="1:26" ht="27.6">
      <c r="A6" s="3">
        <v>3</v>
      </c>
      <c r="B6" s="3" t="s">
        <v>365</v>
      </c>
      <c r="C6" s="3" t="s">
        <v>366</v>
      </c>
      <c r="D6" s="3" t="s">
        <v>362</v>
      </c>
      <c r="E6" s="3" t="s">
        <v>367</v>
      </c>
      <c r="F6" s="3" t="s">
        <v>368</v>
      </c>
    </row>
    <row r="7" spans="1:26">
      <c r="A7" s="3">
        <v>4</v>
      </c>
      <c r="B7" s="3" t="s">
        <v>369</v>
      </c>
      <c r="C7" s="3" t="s">
        <v>370</v>
      </c>
      <c r="D7" s="3" t="s">
        <v>94</v>
      </c>
      <c r="E7" s="3" t="s">
        <v>371</v>
      </c>
      <c r="F7" s="3" t="s">
        <v>372</v>
      </c>
    </row>
    <row r="8" spans="1:26">
      <c r="A8" s="3">
        <v>5</v>
      </c>
      <c r="B8" s="3" t="s">
        <v>373</v>
      </c>
      <c r="C8" s="3" t="s">
        <v>374</v>
      </c>
      <c r="D8" s="3" t="s">
        <v>375</v>
      </c>
      <c r="E8" s="3" t="s">
        <v>376</v>
      </c>
      <c r="F8" s="3" t="s">
        <v>377</v>
      </c>
    </row>
    <row r="9" spans="1:26">
      <c r="A9" s="3">
        <v>6</v>
      </c>
      <c r="B9" s="3" t="s">
        <v>378</v>
      </c>
      <c r="C9" s="3" t="s">
        <v>379</v>
      </c>
      <c r="D9" s="3" t="s">
        <v>94</v>
      </c>
      <c r="E9" s="3" t="s">
        <v>380</v>
      </c>
      <c r="F9" s="3" t="s">
        <v>381</v>
      </c>
    </row>
    <row r="10" spans="1:26">
      <c r="A10" s="3">
        <v>7</v>
      </c>
      <c r="B10" s="3" t="s">
        <v>382</v>
      </c>
      <c r="C10" s="3" t="s">
        <v>383</v>
      </c>
      <c r="D10" s="3" t="s">
        <v>82</v>
      </c>
      <c r="E10" s="3" t="s">
        <v>384</v>
      </c>
      <c r="F10" s="3" t="s">
        <v>385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8"/>
  <sheetViews>
    <sheetView workbookViewId="0"/>
  </sheetViews>
  <sheetFormatPr defaultRowHeight="13.8"/>
  <cols>
    <col min="1" max="6" width="18" customWidth="1"/>
  </cols>
  <sheetData>
    <row r="1" spans="1:26" ht="21">
      <c r="A1" s="9" t="s">
        <v>4</v>
      </c>
      <c r="B1" s="9" t="s">
        <v>24</v>
      </c>
      <c r="C1" s="9" t="s">
        <v>45</v>
      </c>
      <c r="D1" s="9" t="s">
        <v>130</v>
      </c>
      <c r="E1" s="9" t="s">
        <v>131</v>
      </c>
      <c r="F1" s="9" t="s">
        <v>277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2" t="s">
        <v>56</v>
      </c>
      <c r="B2" s="2" t="s">
        <v>29</v>
      </c>
      <c r="C2" s="2" t="s">
        <v>106</v>
      </c>
      <c r="D2" s="2">
        <v>1</v>
      </c>
      <c r="E2" s="2">
        <v>1</v>
      </c>
      <c r="F2" s="2" t="s">
        <v>29</v>
      </c>
    </row>
    <row r="3" spans="1:26">
      <c r="A3" s="2" t="s">
        <v>62</v>
      </c>
      <c r="B3" s="2" t="s">
        <v>31</v>
      </c>
      <c r="C3" s="2" t="s">
        <v>74</v>
      </c>
      <c r="D3" s="2">
        <v>2</v>
      </c>
      <c r="E3" s="2">
        <v>2</v>
      </c>
      <c r="F3" s="2" t="s">
        <v>31</v>
      </c>
    </row>
    <row r="4" spans="1:26">
      <c r="A4" s="2" t="s">
        <v>386</v>
      </c>
      <c r="B4" s="2" t="s">
        <v>33</v>
      </c>
      <c r="C4" s="2" t="s">
        <v>54</v>
      </c>
      <c r="D4" s="2">
        <v>3</v>
      </c>
      <c r="E4" s="2">
        <v>3</v>
      </c>
      <c r="F4" s="2" t="s">
        <v>33</v>
      </c>
    </row>
    <row r="5" spans="1:26">
      <c r="A5" s="2" t="s">
        <v>88</v>
      </c>
      <c r="B5" s="2" t="s">
        <v>35</v>
      </c>
      <c r="C5" s="2" t="s">
        <v>81</v>
      </c>
      <c r="D5" s="2">
        <v>4</v>
      </c>
      <c r="E5" s="2">
        <v>4</v>
      </c>
      <c r="F5" s="2" t="s">
        <v>35</v>
      </c>
    </row>
    <row r="6" spans="1:26">
      <c r="A6" s="2" t="s">
        <v>143</v>
      </c>
      <c r="B6" s="2"/>
      <c r="C6" s="2" t="s">
        <v>387</v>
      </c>
      <c r="D6" s="2">
        <v>5</v>
      </c>
      <c r="E6" s="2">
        <v>5</v>
      </c>
      <c r="F6" s="2"/>
    </row>
    <row r="7" spans="1:26">
      <c r="A7" s="2" t="s">
        <v>139</v>
      </c>
      <c r="B7" s="2"/>
      <c r="C7" s="2" t="s">
        <v>315</v>
      </c>
      <c r="D7" s="2"/>
      <c r="E7" s="2"/>
      <c r="F7" s="2"/>
    </row>
    <row r="8" spans="1:26">
      <c r="A8" s="2" t="s">
        <v>156</v>
      </c>
      <c r="B8" s="2"/>
      <c r="C8" s="2"/>
      <c r="D8" s="2"/>
      <c r="E8" s="2"/>
      <c r="F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Compliance Checklist</vt:lpstr>
      <vt:lpstr>Risk Assessment</vt:lpstr>
      <vt:lpstr>Audit Tracker</vt:lpstr>
      <vt:lpstr>Corrective Action Log</vt:lpstr>
      <vt:lpstr>SOP Register</vt:lpstr>
      <vt:lpstr>Quality KPI Tracker</vt:lpstr>
      <vt:lpstr>Incident Log</vt:lpstr>
      <vt:lpstr>Staff Training</vt:lpstr>
      <vt:lpstr>Document Control</vt:lpstr>
      <vt:lpstr>Process Flow</vt:lpstr>
      <vt:lpstr>Validation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 Haghbin</cp:lastModifiedBy>
  <dcterms:modified xsi:type="dcterms:W3CDTF">2026-06-12T09:25:42Z</dcterms:modified>
</cp:coreProperties>
</file>