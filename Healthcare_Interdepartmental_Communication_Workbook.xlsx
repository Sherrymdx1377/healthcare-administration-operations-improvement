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11_0DB1BF42F6149B82B633F66DF58C7D8719D9B1B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epartment Contacts" sheetId="2" r:id="rId2"/>
    <sheet name="Communication Tracker" sheetId="3" r:id="rId3"/>
    <sheet name="Escalation Matrix" sheetId="4" r:id="rId4"/>
    <sheet name="Issue Resolution Log" sheetId="5" r:id="rId5"/>
    <sheet name="Patient Update Log" sheetId="6" r:id="rId6"/>
    <sheet name="Daily Handover" sheetId="7" r:id="rId7"/>
    <sheet name="Communication Templates" sheetId="8" r:id="rId8"/>
    <sheet name="Process Flow" sheetId="9" r:id="rId9"/>
    <sheet name="Validation Lis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H16" i="1"/>
  <c r="E16" i="1"/>
  <c r="H15" i="1"/>
  <c r="E15" i="1"/>
  <c r="B15" i="1"/>
  <c r="H14" i="1"/>
  <c r="E14" i="1"/>
  <c r="B14" i="1"/>
  <c r="H13" i="1"/>
  <c r="E13" i="1"/>
  <c r="B13" i="1"/>
  <c r="H12" i="1"/>
  <c r="E12" i="1"/>
  <c r="B12" i="1"/>
  <c r="H11" i="1"/>
  <c r="E11" i="1"/>
  <c r="B11" i="1"/>
  <c r="I6" i="1"/>
  <c r="G6" i="1"/>
  <c r="E6" i="1"/>
  <c r="C6" i="1"/>
  <c r="A6" i="1"/>
</calcChain>
</file>

<file path=xl/sharedStrings.xml><?xml version="1.0" encoding="utf-8"?>
<sst xmlns="http://schemas.openxmlformats.org/spreadsheetml/2006/main" count="615" uniqueCount="347">
  <si>
    <t>Healthcare Communication Coordination Dashboard</t>
  </si>
  <si>
    <t>Interdepartmental issue tracking, escalation monitoring, and daily communication performance</t>
  </si>
  <si>
    <t>Key Metrics</t>
  </si>
  <si>
    <t>Open Items</t>
  </si>
  <si>
    <t>Resolved Items</t>
  </si>
  <si>
    <t>Escalated Items</t>
  </si>
  <si>
    <t>Avg Resolution Minutes</t>
  </si>
  <si>
    <t>Patient Updates Sent</t>
  </si>
  <si>
    <t>Status</t>
  </si>
  <si>
    <t>Count</t>
  </si>
  <si>
    <t>Department</t>
  </si>
  <si>
    <t>Issue Type</t>
  </si>
  <si>
    <t>Open</t>
  </si>
  <si>
    <t>Front Desk</t>
  </si>
  <si>
    <t>Appointment Error</t>
  </si>
  <si>
    <t>In Progress</t>
  </si>
  <si>
    <t>Outpatient Services</t>
  </si>
  <si>
    <t>Missing Approval</t>
  </si>
  <si>
    <t>Resolved</t>
  </si>
  <si>
    <t>Medical Records</t>
  </si>
  <si>
    <t>Record Mismatch</t>
  </si>
  <si>
    <t>Escalated</t>
  </si>
  <si>
    <t>Billing and Insurance</t>
  </si>
  <si>
    <t>Staff Availability</t>
  </si>
  <si>
    <t>Overdue</t>
  </si>
  <si>
    <t>Nursing</t>
  </si>
  <si>
    <t>Patient Complaint</t>
  </si>
  <si>
    <t>Doctor Office</t>
  </si>
  <si>
    <t>Referral Update</t>
  </si>
  <si>
    <t>Administration</t>
  </si>
  <si>
    <t>Department Communication Contacts</t>
  </si>
  <si>
    <t>Key contacts for daily coordination and escalation</t>
  </si>
  <si>
    <t>Primary Role</t>
  </si>
  <si>
    <t>Primary Contact</t>
  </si>
  <si>
    <t>Backup Contact</t>
  </si>
  <si>
    <t>Communication Channel</t>
  </si>
  <si>
    <t>Response Target</t>
  </si>
  <si>
    <t>Patient reception and first-level triage</t>
  </si>
  <si>
    <t>Front Desk Lead</t>
  </si>
  <si>
    <t>Reception Coordinator</t>
  </si>
  <si>
    <t>Phone / Shared Tracker</t>
  </si>
  <si>
    <t>5 minutes</t>
  </si>
  <si>
    <t>Appointment verification and doctor availability</t>
  </si>
  <si>
    <t>Outpatient Coordinator</t>
  </si>
  <si>
    <t>Clinic Coordinator</t>
  </si>
  <si>
    <t>Phone / Internal Email</t>
  </si>
  <si>
    <t>10 minutes</t>
  </si>
  <si>
    <t>Patient file verification and record correction</t>
  </si>
  <si>
    <t>Records Officer</t>
  </si>
  <si>
    <t>Records Supervisor</t>
  </si>
  <si>
    <t>Shared Tracker / Internal Email</t>
  </si>
  <si>
    <t>15 minutes</t>
  </si>
  <si>
    <t>Approval checks and payment documentation</t>
  </si>
  <si>
    <t>Billing Officer</t>
  </si>
  <si>
    <t>Insurance Lead</t>
  </si>
  <si>
    <t>Internal Email / Phone</t>
  </si>
  <si>
    <t>20 minutes</t>
  </si>
  <si>
    <t>Patient preparation and clinical readiness</t>
  </si>
  <si>
    <t>Charge Nurse</t>
  </si>
  <si>
    <t>Nursing Coordinator</t>
  </si>
  <si>
    <t>Secure Messaging / Phone</t>
  </si>
  <si>
    <t>Clinical decision and appointment confirmation</t>
  </si>
  <si>
    <t>Doctor Secretary</t>
  </si>
  <si>
    <t>Clinical Coordinator</t>
  </si>
  <si>
    <t>Escalation decisions and service recovery</t>
  </si>
  <si>
    <t>Administration Supervisor</t>
  </si>
  <si>
    <t>Operations Coordinator</t>
  </si>
  <si>
    <t>Phone / Incident Log</t>
  </si>
  <si>
    <t>Immediate</t>
  </si>
  <si>
    <t>Daily Communication Tracker</t>
  </si>
  <si>
    <t>Editable tracker for department updates, issue ownership, and follow-up status</t>
  </si>
  <si>
    <t>Date</t>
  </si>
  <si>
    <t>Time</t>
  </si>
  <si>
    <t>Case ID</t>
  </si>
  <si>
    <t>Patient ID</t>
  </si>
  <si>
    <t>Source Department</t>
  </si>
  <si>
    <t>Receiving Department</t>
  </si>
  <si>
    <t>Issue Summary</t>
  </si>
  <si>
    <t>Priority</t>
  </si>
  <si>
    <t>Channel</t>
  </si>
  <si>
    <t>Owner</t>
  </si>
  <si>
    <t>Due Time</t>
  </si>
  <si>
    <t>Last Update</t>
  </si>
  <si>
    <t>Next Action</t>
  </si>
  <si>
    <t>09:05</t>
  </si>
  <si>
    <t>COM-001</t>
  </si>
  <si>
    <t>PT-1042</t>
  </si>
  <si>
    <t>Appointment department mismatch</t>
  </si>
  <si>
    <t>High</t>
  </si>
  <si>
    <t>Phone</t>
  </si>
  <si>
    <t>09:20</t>
  </si>
  <si>
    <t>Doctor office contacted</t>
  </si>
  <si>
    <t>Confirm doctor availability</t>
  </si>
  <si>
    <t>09:15</t>
  </si>
  <si>
    <t>COM-002</t>
  </si>
  <si>
    <t>PT-1187</t>
  </si>
  <si>
    <t>Approval pending for consultation</t>
  </si>
  <si>
    <t>Medium</t>
  </si>
  <si>
    <t>Internal Email</t>
  </si>
  <si>
    <t>09:35</t>
  </si>
  <si>
    <t>Insurance status requested</t>
  </si>
  <si>
    <t>Update patient</t>
  </si>
  <si>
    <t>10:10</t>
  </si>
  <si>
    <t>COM-003</t>
  </si>
  <si>
    <t>PT-1120</t>
  </si>
  <si>
    <t>File update needed before vitals</t>
  </si>
  <si>
    <t>Shared Tracker</t>
  </si>
  <si>
    <t>10:25</t>
  </si>
  <si>
    <t>Record corrected</t>
  </si>
  <si>
    <t>No further action</t>
  </si>
  <si>
    <t>11:00</t>
  </si>
  <si>
    <t>COM-004</t>
  </si>
  <si>
    <t>PT-1214</t>
  </si>
  <si>
    <t>Doctor schedule change</t>
  </si>
  <si>
    <t>11:10</t>
  </si>
  <si>
    <t>Supervisor notified</t>
  </si>
  <si>
    <t>Offer revised slot</t>
  </si>
  <si>
    <t>12:20</t>
  </si>
  <si>
    <t>COM-005</t>
  </si>
  <si>
    <t>PT-1299</t>
  </si>
  <si>
    <t>Patient Relations</t>
  </si>
  <si>
    <t>Patient waiting time concern</t>
  </si>
  <si>
    <t>Patient Relations Officer</t>
  </si>
  <si>
    <t>12:25</t>
  </si>
  <si>
    <t>Patient updated</t>
  </si>
  <si>
    <t>Monitor waiting time</t>
  </si>
  <si>
    <t>13:05</t>
  </si>
  <si>
    <t>COM-006</t>
  </si>
  <si>
    <t>PT-1310</t>
  </si>
  <si>
    <t>Procedure approval required</t>
  </si>
  <si>
    <t>Secure Messaging</t>
  </si>
  <si>
    <t>13:25</t>
  </si>
  <si>
    <t>Approval confirmed</t>
  </si>
  <si>
    <t>Proceed with visit</t>
  </si>
  <si>
    <t>14:10</t>
  </si>
  <si>
    <t>COM-007</t>
  </si>
  <si>
    <t>PT-1365</t>
  </si>
  <si>
    <t>Referral document missing</t>
  </si>
  <si>
    <t>14:30</t>
  </si>
  <si>
    <t>Referral requested</t>
  </si>
  <si>
    <t>Upload document</t>
  </si>
  <si>
    <t>15:00</t>
  </si>
  <si>
    <t>COM-008</t>
  </si>
  <si>
    <t>PT-1402</t>
  </si>
  <si>
    <t>End-of-day unresolved case review</t>
  </si>
  <si>
    <t>Low</t>
  </si>
  <si>
    <t>16:00</t>
  </si>
  <si>
    <t>Pending closure</t>
  </si>
  <si>
    <t>Review tracker</t>
  </si>
  <si>
    <t>Escalation Matrix</t>
  </si>
  <si>
    <t>Decision rules for urgent communication and unresolved issues</t>
  </si>
  <si>
    <t>Issue Category</t>
  </si>
  <si>
    <t>First Contact</t>
  </si>
  <si>
    <t>Escalation Contact</t>
  </si>
  <si>
    <t>Escalation Trigger</t>
  </si>
  <si>
    <t>Required Documentation</t>
  </si>
  <si>
    <t>No slot confirmation within target time</t>
  </si>
  <si>
    <t>Tracker note and revised appointment record</t>
  </si>
  <si>
    <t>Approval not found or policy requires review</t>
  </si>
  <si>
    <t>Approval request, payer notes, patient update log</t>
  </si>
  <si>
    <t>Patient identifiers do not match</t>
  </si>
  <si>
    <t>Record correction note and audit trail</t>
  </si>
  <si>
    <t>Provider unavailable or department delayed</t>
  </si>
  <si>
    <t>Reassignment note and patient notification</t>
  </si>
  <si>
    <t>Patient dissatisfaction or service concern</t>
  </si>
  <si>
    <t>Complaint note and service recovery action</t>
  </si>
  <si>
    <t>Urgent Clinical Concern</t>
  </si>
  <si>
    <t>Patient condition requires prompt clinical review</t>
  </si>
  <si>
    <t>Clinical handover and time-stamped communication</t>
  </si>
  <si>
    <t>Issue Resolution Log</t>
  </si>
  <si>
    <t>Case log for communication gaps, corrective actions, and completion evidence</t>
  </si>
  <si>
    <t>Responsible Department</t>
  </si>
  <si>
    <t>Root Cause</t>
  </si>
  <si>
    <t>Opened Time</t>
  </si>
  <si>
    <t>Resolution Minutes</t>
  </si>
  <si>
    <t>Escalation Required</t>
  </si>
  <si>
    <t>Confidentiality Review</t>
  </si>
  <si>
    <t>Resolution Summary</t>
  </si>
  <si>
    <t>CASE-001</t>
  </si>
  <si>
    <t>Wrong department selected at booking</t>
  </si>
  <si>
    <t>Yes</t>
  </si>
  <si>
    <t>Complete</t>
  </si>
  <si>
    <t>Patient directed to correct department and revised slot offered</t>
  </si>
  <si>
    <t>CASE-002</t>
  </si>
  <si>
    <t>Approval not attached to patient file</t>
  </si>
  <si>
    <t>No</t>
  </si>
  <si>
    <t>Billing team contacted payer for confirmation</t>
  </si>
  <si>
    <t>CASE-003</t>
  </si>
  <si>
    <t>Patient phone number duplicated under another profile</t>
  </si>
  <si>
    <t>Record corrected after identifier check</t>
  </si>
  <si>
    <t>CASE-004</t>
  </si>
  <si>
    <t>Provider unavailable due to urgent clinic change</t>
  </si>
  <si>
    <t>Supervisor approved reassignment</t>
  </si>
  <si>
    <t>CASE-005</t>
  </si>
  <si>
    <t>Waiting time exceeded target</t>
  </si>
  <si>
    <t>Patient informed and expected wait time updated</t>
  </si>
  <si>
    <t>CASE-006</t>
  </si>
  <si>
    <t>Procedure approval required before nursing action</t>
  </si>
  <si>
    <t>Approval confirmed and nursing notified</t>
  </si>
  <si>
    <t>CASE-007</t>
  </si>
  <si>
    <t>Referral document missing from file</t>
  </si>
  <si>
    <t>Pending</t>
  </si>
  <si>
    <t>Document requested from referring office</t>
  </si>
  <si>
    <t>CASE-008</t>
  </si>
  <si>
    <t>End-of-day follow-up not closed</t>
  </si>
  <si>
    <t>Pending final closure by owner</t>
  </si>
  <si>
    <t>CASE-009</t>
  </si>
  <si>
    <t>Date of birth mismatch on registration form</t>
  </si>
  <si>
    <t>08:40</t>
  </si>
  <si>
    <t>Identifiers verified and corrected</t>
  </si>
  <si>
    <t>CASE-010</t>
  </si>
  <si>
    <t>Nursing room unavailable</t>
  </si>
  <si>
    <t>10:30</t>
  </si>
  <si>
    <t>Temporary room assignment pending</t>
  </si>
  <si>
    <t>CASE-011</t>
  </si>
  <si>
    <t>Patient requested supervisor update</t>
  </si>
  <si>
    <t>12:10</t>
  </si>
  <si>
    <t>Supervisor call completed and case closed</t>
  </si>
  <si>
    <t>Patient Communication Update Log</t>
  </si>
  <si>
    <t>Record of patient-facing updates provided during coordination cases</t>
  </si>
  <si>
    <t>Update Type</t>
  </si>
  <si>
    <t>Staff Member</t>
  </si>
  <si>
    <t>Message Summary</t>
  </si>
  <si>
    <t>09:10</t>
  </si>
  <si>
    <t>Delay Update</t>
  </si>
  <si>
    <t>Sent</t>
  </si>
  <si>
    <t>Patient informed that appointment details are being verified</t>
  </si>
  <si>
    <t>09:25</t>
  </si>
  <si>
    <t>Resolution Update</t>
  </si>
  <si>
    <t>Correct department confirmed and new time provided</t>
  </si>
  <si>
    <t>09:30</t>
  </si>
  <si>
    <t>Approval Update</t>
  </si>
  <si>
    <t>Patient advised that insurance approval is being checked</t>
  </si>
  <si>
    <t>11:05</t>
  </si>
  <si>
    <t>Schedule Change</t>
  </si>
  <si>
    <t>Patient informed of doctor availability change</t>
  </si>
  <si>
    <t>Waiting Time Update</t>
  </si>
  <si>
    <t>Patient given revised waiting time</t>
  </si>
  <si>
    <t>13:20</t>
  </si>
  <si>
    <t>Patient notified that approval is complete</t>
  </si>
  <si>
    <t>14:20</t>
  </si>
  <si>
    <t>Document Update</t>
  </si>
  <si>
    <t>Referral document still under review</t>
  </si>
  <si>
    <t>08:50</t>
  </si>
  <si>
    <t>Record Update</t>
  </si>
  <si>
    <t>Patient advised that profile details were corrected</t>
  </si>
  <si>
    <t>10:50</t>
  </si>
  <si>
    <t>Patient updated about temporary room assignment</t>
  </si>
  <si>
    <t>Service Recovery</t>
  </si>
  <si>
    <t>Supervisor follow-up completed</t>
  </si>
  <si>
    <t>15:30</t>
  </si>
  <si>
    <t>CASE-012</t>
  </si>
  <si>
    <t>General Update</t>
  </si>
  <si>
    <t>Not Sent</t>
  </si>
  <si>
    <t>Update pending department confirmation</t>
  </si>
  <si>
    <t>CASE-013</t>
  </si>
  <si>
    <t>Closure Update</t>
  </si>
  <si>
    <t>Case closure confirmed</t>
  </si>
  <si>
    <t>Daily Handover Checklist</t>
  </si>
  <si>
    <t>Checklist for shift-to-shift communication and unresolved case transfer</t>
  </si>
  <si>
    <t>Shift</t>
  </si>
  <si>
    <t>Open Cases</t>
  </si>
  <si>
    <t>Urgent Items</t>
  </si>
  <si>
    <t>Handover Completed</t>
  </si>
  <si>
    <t>Notes</t>
  </si>
  <si>
    <t>Morning</t>
  </si>
  <si>
    <t>Patient waiting concern</t>
  </si>
  <si>
    <t>Monitor waiting time updates</t>
  </si>
  <si>
    <t>Approval pending</t>
  </si>
  <si>
    <t>Pending payer response</t>
  </si>
  <si>
    <t>Afternoon</t>
  </si>
  <si>
    <t>Follow up with referring office</t>
  </si>
  <si>
    <t>Provider reassignment</t>
  </si>
  <si>
    <t>Revised slot offered</t>
  </si>
  <si>
    <t>Room assignment</t>
  </si>
  <si>
    <t>Temporary room pending</t>
  </si>
  <si>
    <t>Supervisor closure</t>
  </si>
  <si>
    <t>Final review completed</t>
  </si>
  <si>
    <t>Communication Templates</t>
  </si>
  <si>
    <t>Reusable message structures for internal coordination and patient updates</t>
  </si>
  <si>
    <t>Template Type</t>
  </si>
  <si>
    <t>Purpose</t>
  </si>
  <si>
    <t>Required Fields</t>
  </si>
  <si>
    <t>Template Text</t>
  </si>
  <si>
    <t>Internal Department Request</t>
  </si>
  <si>
    <t>Request verification or action from another department</t>
  </si>
  <si>
    <t>Case ID, Patient ID, issue, deadline</t>
  </si>
  <si>
    <t>Please review Case ID [Case ID] for Patient ID [Patient ID]. The issue requires your department review by [Time]. Kindly update the tracker after action is completed.</t>
  </si>
  <si>
    <t>Urgent Call Script</t>
  </si>
  <si>
    <t>Escalate a time-sensitive issue</t>
  </si>
  <si>
    <t>Case ID, issue, requested action</t>
  </si>
  <si>
    <t>This is an urgent coordination request for Case ID [Case ID]. The issue is [Issue]. Please confirm the next action and expected completion time.</t>
  </si>
  <si>
    <t>Patient Update Script</t>
  </si>
  <si>
    <t>Inform patient without disclosing internal details</t>
  </si>
  <si>
    <t>In Person / Phone</t>
  </si>
  <si>
    <t>Patient name, update, time frame</t>
  </si>
  <si>
    <t>Thank you for your patience. We are verifying your appointment details with the relevant team and will update you as soon as the next step is confirmed.</t>
  </si>
  <si>
    <t>Handover Note</t>
  </si>
  <si>
    <t>Transfer unresolved cases to the next shift</t>
  </si>
  <si>
    <t>Case ID, owner, status, next action</t>
  </si>
  <si>
    <t>Case ID [Case ID] remains [Status]. Current owner: [Owner]. Next action: [Next Action]. Expected follow-up time: [Time].</t>
  </si>
  <si>
    <t>Closure Note</t>
  </si>
  <si>
    <t>Document final resolution</t>
  </si>
  <si>
    <t>Case ID, resolution, staff member</t>
  </si>
  <si>
    <t>Case ID [Case ID] was resolved on [Date/Time]. Final action taken: [Resolution]. Closed by [Staff Member].</t>
  </si>
  <si>
    <t>Interdepartmental Communication Process Flow</t>
  </si>
  <si>
    <t>Step-by-step workflow for identifying, escalating, resolving, and closing issues</t>
  </si>
  <si>
    <t>Step</t>
  </si>
  <si>
    <t>Process Stage</t>
  </si>
  <si>
    <t>Responsible Team</t>
  </si>
  <si>
    <t>Output</t>
  </si>
  <si>
    <t>Patient arrives or department issue is identified</t>
  </si>
  <si>
    <t>Front Desk or Source Department</t>
  </si>
  <si>
    <t>Issue recorded with Case ID</t>
  </si>
  <si>
    <t>Patient identity and appointment information are verified</t>
  </si>
  <si>
    <t>Front Desk / Medical Records</t>
  </si>
  <si>
    <t>Confirmed patient record</t>
  </si>
  <si>
    <t>Issue category and priority are assigned</t>
  </si>
  <si>
    <t>Priority and owner selected</t>
  </si>
  <si>
    <t>Responsible department is contacted</t>
  </si>
  <si>
    <t>Assigned Owner</t>
  </si>
  <si>
    <t>Department response requested</t>
  </si>
  <si>
    <t>Shared tracker is updated</t>
  </si>
  <si>
    <t>Time-stamped update</t>
  </si>
  <si>
    <t>Escalation rule is checked</t>
  </si>
  <si>
    <t>Owner / Supervisor</t>
  </si>
  <si>
    <t>Escalation decision</t>
  </si>
  <si>
    <t>Patient is updated using approved script</t>
  </si>
  <si>
    <t>Front Desk / Patient Relations</t>
  </si>
  <si>
    <t>Patient update log entry</t>
  </si>
  <si>
    <t>Corrective action is completed</t>
  </si>
  <si>
    <t>Corrected record, approval, or revised appointment</t>
  </si>
  <si>
    <t>Supervisor reviews unresolved items</t>
  </si>
  <si>
    <t>Service recovery or decision</t>
  </si>
  <si>
    <t>Case is closed with evidence</t>
  </si>
  <si>
    <t>Resolution summary and closure time</t>
  </si>
  <si>
    <t>Validation Lists</t>
  </si>
  <si>
    <t>Dropdown categories used across editable sheets</t>
  </si>
  <si>
    <t>Departments</t>
  </si>
  <si>
    <t>Channels</t>
  </si>
  <si>
    <t>Issue Types</t>
  </si>
  <si>
    <t>Yes No</t>
  </si>
  <si>
    <t>Review Status</t>
  </si>
  <si>
    <t>Not Required</t>
  </si>
  <si>
    <t>Critical</t>
  </si>
  <si>
    <t>In Person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</si>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</sst>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374151"/>
      <name val="Carlito"/>
    </font>
    <font>
      <b/>
      <sz val="11"/>
      <color rgb="FF0F4C81"/>
      <name val="Carlito"/>
    </font>
    <font>
      <b/>
      <sz val="18"/>
      <color rgb="FF0F4C81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3F8FB"/>
      </patternFill>
    </fill>
    <fill>
      <patternFill patternType="solid">
        <fgColor rgb="FFEAF4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6F8B"/>
      </patternFill>
    </fill>
    <fill>
      <patternFill patternType="solid">
        <fgColor rgb="FFF7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8" borderId="0" xfId="0" applyFont="1" applyFill="1" applyAlignment="1">
      <alignment vertical="top" wrapText="1"/>
    </xf>
    <xf numFmtId="164" fontId="6" fillId="8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7" borderId="0" xfId="0" applyFont="1" applyFill="1" applyAlignment="1">
      <alignment horizontal="center" vertical="top" wrapText="1"/>
    </xf>
    <xf numFmtId="0" fontId="0" fillId="6" borderId="0" xfId="0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</cellXfs>
  <cellStyles count="1">
    <cellStyle name="Normal" xfId="0" builtinId="0"/>
  </cellStyles>
  <dxfs count="10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Issues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Status Count</c:v>
          </c:tx>
          <c:invertIfNegative val="1"/>
          <c:cat>
            <c:strRef>
              <c:f>Dashboard!$A$11:$A$15</c:f>
              <c:strCache>
                <c:ptCount val="5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  <c:pt idx="3">
                  <c:v>Escalated</c:v>
                </c:pt>
                <c:pt idx="4">
                  <c:v>Overdue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E-4B3D-9DE2-86A528A1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Open Items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Items</c:v>
          </c:tx>
          <c:invertIfNegative val="1"/>
          <c:cat>
            <c:strRef>
              <c:f>Dashboard!$D$11:$D$17</c:f>
              <c:strCache>
                <c:ptCount val="7"/>
                <c:pt idx="0">
                  <c:v>Front Desk</c:v>
                </c:pt>
                <c:pt idx="1">
                  <c:v>Outpatient Services</c:v>
                </c:pt>
                <c:pt idx="2">
                  <c:v>Medical Records</c:v>
                </c:pt>
                <c:pt idx="3">
                  <c:v>Billing and Insurance</c:v>
                </c:pt>
                <c:pt idx="4">
                  <c:v>Nursing</c:v>
                </c:pt>
                <c:pt idx="5">
                  <c:v>Doctor Office</c:v>
                </c:pt>
                <c:pt idx="6">
                  <c:v>Administration</c:v>
                </c:pt>
              </c:strCache>
            </c:strRef>
          </c:cat>
          <c:val>
            <c:numRef>
              <c:f>Dashboard!$E$11:$E$17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B-446F-AA47-2D30DDF1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tmentContactsTable" displayName="DepartmentContactsTable" ref="A4:F11">
  <tableColumns count="6">
    <tableColumn id="1" xr3:uid="{00000000-0010-0000-0000-000001000000}" name="Department"/>
    <tableColumn id="2" xr3:uid="{00000000-0010-0000-0000-000002000000}" name="Primary Role"/>
    <tableColumn id="3" xr3:uid="{00000000-0010-0000-0000-000003000000}" name="Primary Contact"/>
    <tableColumn id="4" xr3:uid="{00000000-0010-0000-0000-000004000000}" name="Backup Contact"/>
    <tableColumn id="5" xr3:uid="{00000000-0010-0000-0000-000005000000}" name="Communication Channel"/>
    <tableColumn id="6" xr3:uid="{00000000-0010-0000-0000-000006000000}" name="Response 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municationTrackerTable" displayName="CommunicationTrackerTable" ref="A4:N12">
  <tableColumns count="14">
    <tableColumn id="1" xr3:uid="{00000000-0010-0000-0100-000001000000}" name="Date"/>
    <tableColumn id="2" xr3:uid="{00000000-0010-0000-0100-000002000000}" name="Time"/>
    <tableColumn id="3" xr3:uid="{00000000-0010-0000-0100-000003000000}" name="Case ID"/>
    <tableColumn id="4" xr3:uid="{00000000-0010-0000-0100-000004000000}" name="Patient ID"/>
    <tableColumn id="5" xr3:uid="{00000000-0010-0000-0100-000005000000}" name="Source Department"/>
    <tableColumn id="6" xr3:uid="{00000000-0010-0000-0100-000006000000}" name="Receiving Department"/>
    <tableColumn id="7" xr3:uid="{00000000-0010-0000-0100-000007000000}" name="Issue Summary"/>
    <tableColumn id="8" xr3:uid="{00000000-0010-0000-0100-000008000000}" name="Priority"/>
    <tableColumn id="9" xr3:uid="{00000000-0010-0000-0100-000009000000}" name="Channel"/>
    <tableColumn id="10" xr3:uid="{00000000-0010-0000-0100-00000A000000}" name="Owner"/>
    <tableColumn id="11" xr3:uid="{00000000-0010-0000-0100-00000B000000}" name="Due Time"/>
    <tableColumn id="12" xr3:uid="{00000000-0010-0000-0100-00000C000000}" name="Status"/>
    <tableColumn id="13" xr3:uid="{00000000-0010-0000-0100-00000D000000}" name="Last Update"/>
    <tableColumn id="14" xr3:uid="{00000000-0010-0000-0100-00000E000000}" name="Next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scalationMatrixTable" displayName="EscalationMatrixTable" ref="A4:F10">
  <tableColumns count="6">
    <tableColumn id="1" xr3:uid="{00000000-0010-0000-0200-000001000000}" name="Issue Category"/>
    <tableColumn id="2" xr3:uid="{00000000-0010-0000-0200-000002000000}" name="First Contact"/>
    <tableColumn id="3" xr3:uid="{00000000-0010-0000-0200-000003000000}" name="Escalation Contact"/>
    <tableColumn id="4" xr3:uid="{00000000-0010-0000-0200-000004000000}" name="Response Target"/>
    <tableColumn id="5" xr3:uid="{00000000-0010-0000-0200-000005000000}" name="Escalation Trigger"/>
    <tableColumn id="6" xr3:uid="{00000000-0010-0000-0200-000006000000}" name="Required Documen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ssueResolutionTable" displayName="IssueResolutionTable" ref="A4:L15">
  <tableColumns count="12">
    <tableColumn id="1" xr3:uid="{00000000-0010-0000-0300-000001000000}" name="Date"/>
    <tableColumn id="2" xr3:uid="{00000000-0010-0000-0300-000002000000}" name="Case ID"/>
    <tableColumn id="3" xr3:uid="{00000000-0010-0000-0300-000003000000}" name="Issue Type"/>
    <tableColumn id="4" xr3:uid="{00000000-0010-0000-0300-000004000000}" name="Responsible Department"/>
    <tableColumn id="5" xr3:uid="{00000000-0010-0000-0300-000005000000}" name="Priority"/>
    <tableColumn id="6" xr3:uid="{00000000-0010-0000-0300-000006000000}" name="Root Cause"/>
    <tableColumn id="7" xr3:uid="{00000000-0010-0000-0300-000007000000}" name="Status"/>
    <tableColumn id="8" xr3:uid="{00000000-0010-0000-0300-000008000000}" name="Opened Time"/>
    <tableColumn id="9" xr3:uid="{00000000-0010-0000-0300-000009000000}" name="Resolution Minutes"/>
    <tableColumn id="10" xr3:uid="{00000000-0010-0000-0300-00000A000000}" name="Escalation Required"/>
    <tableColumn id="11" xr3:uid="{00000000-0010-0000-0300-00000B000000}" name="Confidentiality Review"/>
    <tableColumn id="12" xr3:uid="{00000000-0010-0000-0300-00000C000000}" name="Resolution Summ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tientUpdateTable" displayName="PatientUpdateTable" ref="A4:H16">
  <tableColumns count="8">
    <tableColumn id="1" xr3:uid="{00000000-0010-0000-0400-000001000000}" name="Date"/>
    <tableColumn id="2" xr3:uid="{00000000-0010-0000-0400-000002000000}" name="Time"/>
    <tableColumn id="3" xr3:uid="{00000000-0010-0000-0400-000003000000}" name="Case ID"/>
    <tableColumn id="4" xr3:uid="{00000000-0010-0000-0400-000004000000}" name="Patient ID"/>
    <tableColumn id="5" xr3:uid="{00000000-0010-0000-0400-000005000000}" name="Update Type"/>
    <tableColumn id="6" xr3:uid="{00000000-0010-0000-0400-000006000000}" name="Status"/>
    <tableColumn id="7" xr3:uid="{00000000-0010-0000-0400-000007000000}" name="Staff Member"/>
    <tableColumn id="8" xr3:uid="{00000000-0010-0000-0400-000008000000}" name="Message Summa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ilyHandoverTable" displayName="DailyHandoverTable" ref="A4:H10">
  <tableColumns count="8">
    <tableColumn id="1" xr3:uid="{00000000-0010-0000-0500-000001000000}" name="Date"/>
    <tableColumn id="2" xr3:uid="{00000000-0010-0000-0500-000002000000}" name="Shift"/>
    <tableColumn id="3" xr3:uid="{00000000-0010-0000-0500-000003000000}" name="Department"/>
    <tableColumn id="4" xr3:uid="{00000000-0010-0000-0500-000004000000}" name="Open Cases"/>
    <tableColumn id="5" xr3:uid="{00000000-0010-0000-0500-000005000000}" name="Urgent Items"/>
    <tableColumn id="6" xr3:uid="{00000000-0010-0000-0500-000006000000}" name="Owner"/>
    <tableColumn id="7" xr3:uid="{00000000-0010-0000-0500-000007000000}" name="Handover Completed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municationTemplatesTable" displayName="CommunicationTemplatesTable" ref="A4:E9">
  <tableColumns count="5">
    <tableColumn id="1" xr3:uid="{00000000-0010-0000-0600-000001000000}" name="Template Type"/>
    <tableColumn id="2" xr3:uid="{00000000-0010-0000-0600-000002000000}" name="Purpose"/>
    <tableColumn id="3" xr3:uid="{00000000-0010-0000-0600-000003000000}" name="Channel"/>
    <tableColumn id="4" xr3:uid="{00000000-0010-0000-0600-000004000000}" name="Required Fields"/>
    <tableColumn id="5" xr3:uid="{00000000-0010-0000-0600-000005000000}" name="Template Tex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cessFlowTable" displayName="ProcessFlowTable" ref="A4:D14">
  <tableColumns count="4">
    <tableColumn id="1" xr3:uid="{00000000-0010-0000-0700-000001000000}" name="Step"/>
    <tableColumn id="2" xr3:uid="{00000000-0010-0000-0700-000002000000}" name="Process Stage"/>
    <tableColumn id="3" xr3:uid="{00000000-0010-0000-0700-000003000000}" name="Responsible Team"/>
    <tableColumn id="4" xr3:uid="{00000000-0010-0000-0700-000004000000}" name="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workbookViewId="0">
      <selection sqref="A1:J1"/>
    </sheetView>
  </sheetViews>
  <sheetFormatPr defaultRowHeight="13.8"/>
  <cols>
    <col min="1" max="10" width="18" customWidth="1"/>
  </cols>
  <sheetData>
    <row r="1" spans="1:14" ht="22.3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3"/>
      <c r="L1" s="3"/>
      <c r="M1" s="3"/>
      <c r="N1" s="3"/>
    </row>
    <row r="2" spans="1:1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3"/>
      <c r="L4" s="3"/>
      <c r="M4" s="3"/>
      <c r="N4" s="3"/>
    </row>
    <row r="5" spans="1:14">
      <c r="A5" s="9" t="s">
        <v>3</v>
      </c>
      <c r="B5" s="9"/>
      <c r="C5" s="9" t="s">
        <v>4</v>
      </c>
      <c r="D5" s="9"/>
      <c r="E5" s="9" t="s">
        <v>5</v>
      </c>
      <c r="F5" s="9"/>
      <c r="G5" s="9" t="s">
        <v>6</v>
      </c>
      <c r="H5" s="9"/>
      <c r="I5" s="9" t="s">
        <v>7</v>
      </c>
      <c r="J5" s="9"/>
      <c r="K5" s="3"/>
      <c r="L5" s="3"/>
      <c r="M5" s="3"/>
      <c r="N5" s="3"/>
    </row>
    <row r="6" spans="1:14">
      <c r="A6" s="10">
        <f>COUNTIF('Issue Resolution Log'!G2:G12,"Open")+COUNTIF('Issue Resolution Log'!G2:G12,"In Progress")</f>
        <v>5</v>
      </c>
      <c r="B6" s="10"/>
      <c r="C6" s="10">
        <f>COUNTIF('Issue Resolution Log'!G2:G12,"Resolved")</f>
        <v>2</v>
      </c>
      <c r="D6" s="10"/>
      <c r="E6" s="10">
        <f>COUNTIF('Issue Resolution Log'!J2:J12,"Yes")</f>
        <v>3</v>
      </c>
      <c r="F6" s="10"/>
      <c r="G6" s="10">
        <f>ROUND(AVERAGE('Issue Resolution Log'!I2:I12),0)</f>
        <v>28</v>
      </c>
      <c r="H6" s="10"/>
      <c r="I6" s="10">
        <f>COUNTIF('Patient Update Log'!F2:F13,"Sent")</f>
        <v>5</v>
      </c>
      <c r="J6" s="10"/>
      <c r="K6" s="3"/>
      <c r="L6" s="3"/>
      <c r="M6" s="3"/>
      <c r="N6" s="3"/>
    </row>
    <row r="7" spans="1:14">
      <c r="A7" s="10"/>
      <c r="B7" s="10"/>
      <c r="C7" s="10"/>
      <c r="D7" s="10"/>
      <c r="E7" s="10"/>
      <c r="F7" s="10"/>
      <c r="G7" s="10"/>
      <c r="H7" s="10"/>
      <c r="I7" s="10"/>
      <c r="J7" s="10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4" t="s">
        <v>8</v>
      </c>
      <c r="B10" s="4" t="s">
        <v>9</v>
      </c>
      <c r="C10" s="3"/>
      <c r="D10" s="4" t="s">
        <v>10</v>
      </c>
      <c r="E10" s="4" t="s">
        <v>3</v>
      </c>
      <c r="F10" s="3"/>
      <c r="G10" s="4" t="s">
        <v>11</v>
      </c>
      <c r="H10" s="4" t="s">
        <v>9</v>
      </c>
      <c r="I10" s="3"/>
      <c r="J10" s="3"/>
      <c r="K10" s="3"/>
      <c r="L10" s="3"/>
      <c r="M10" s="3"/>
      <c r="N10" s="3"/>
    </row>
    <row r="11" spans="1:14">
      <c r="A11" s="5" t="s">
        <v>12</v>
      </c>
      <c r="B11" s="5">
        <f>COUNTIF('Issue Resolution Log'!G2:G12,A11)</f>
        <v>3</v>
      </c>
      <c r="C11" s="3"/>
      <c r="D11" s="5" t="s">
        <v>13</v>
      </c>
      <c r="E11" s="5">
        <f>COUNTIFS('Issue Resolution Log'!D2:D12,D11,'Issue Resolution Log'!G2:G12,"&lt;&gt;Resolved")</f>
        <v>1</v>
      </c>
      <c r="F11" s="3"/>
      <c r="G11" s="5" t="s">
        <v>14</v>
      </c>
      <c r="H11" s="5">
        <f>COUNTIF('Issue Resolution Log'!C2:C12,G11)</f>
        <v>2</v>
      </c>
      <c r="I11" s="3"/>
      <c r="J11" s="3"/>
      <c r="K11" s="3"/>
      <c r="L11" s="3"/>
      <c r="M11" s="3"/>
      <c r="N11" s="3"/>
    </row>
    <row r="12" spans="1:14">
      <c r="A12" s="5" t="s">
        <v>15</v>
      </c>
      <c r="B12" s="5">
        <f>COUNTIF('Issue Resolution Log'!G2:G12,A12)</f>
        <v>2</v>
      </c>
      <c r="C12" s="3"/>
      <c r="D12" s="5" t="s">
        <v>16</v>
      </c>
      <c r="E12" s="5">
        <f>COUNTIFS('Issue Resolution Log'!D2:D12,D12,'Issue Resolution Log'!G2:G12,"&lt;&gt;Resolved")</f>
        <v>1</v>
      </c>
      <c r="F12" s="3"/>
      <c r="G12" s="5" t="s">
        <v>17</v>
      </c>
      <c r="H12" s="5">
        <f>COUNTIF('Issue Resolution Log'!C2:C12,G12)</f>
        <v>2</v>
      </c>
      <c r="I12" s="3"/>
      <c r="J12" s="3"/>
      <c r="K12" s="3"/>
      <c r="L12" s="3"/>
      <c r="M12" s="3"/>
      <c r="N12" s="3"/>
    </row>
    <row r="13" spans="1:14">
      <c r="A13" s="5" t="s">
        <v>18</v>
      </c>
      <c r="B13" s="5">
        <f>COUNTIF('Issue Resolution Log'!G2:G12,A13)</f>
        <v>2</v>
      </c>
      <c r="C13" s="3"/>
      <c r="D13" s="5" t="s">
        <v>19</v>
      </c>
      <c r="E13" s="5">
        <f>COUNTIFS('Issue Resolution Log'!D2:D12,D13,'Issue Resolution Log'!G2:G12,"&lt;&gt;Resolved")</f>
        <v>1</v>
      </c>
      <c r="F13" s="3"/>
      <c r="G13" s="5" t="s">
        <v>20</v>
      </c>
      <c r="H13" s="5">
        <f>COUNTIF('Issue Resolution Log'!C2:C12,G13)</f>
        <v>1</v>
      </c>
      <c r="I13" s="3"/>
      <c r="J13" s="3"/>
      <c r="K13" s="3"/>
      <c r="L13" s="3"/>
      <c r="M13" s="3"/>
      <c r="N13" s="3"/>
    </row>
    <row r="14" spans="1:14">
      <c r="A14" s="5" t="s">
        <v>21</v>
      </c>
      <c r="B14" s="5">
        <f>COUNTIF('Issue Resolution Log'!G2:G12,A14)</f>
        <v>1</v>
      </c>
      <c r="C14" s="3"/>
      <c r="D14" s="5" t="s">
        <v>22</v>
      </c>
      <c r="E14" s="5">
        <f>COUNTIFS('Issue Resolution Log'!D2:D12,D14,'Issue Resolution Log'!G2:G12,"&lt;&gt;Resolved")</f>
        <v>1</v>
      </c>
      <c r="F14" s="3"/>
      <c r="G14" s="5" t="s">
        <v>23</v>
      </c>
      <c r="H14" s="5">
        <f>COUNTIF('Issue Resolution Log'!C2:C12,G14)</f>
        <v>1</v>
      </c>
      <c r="I14" s="3"/>
      <c r="J14" s="3"/>
      <c r="K14" s="3"/>
      <c r="L14" s="3"/>
      <c r="M14" s="3"/>
      <c r="N14" s="3"/>
    </row>
    <row r="15" spans="1:14">
      <c r="A15" s="5" t="s">
        <v>24</v>
      </c>
      <c r="B15" s="5">
        <f>COUNTIF('Issue Resolution Log'!G2:G12,A15)</f>
        <v>0</v>
      </c>
      <c r="C15" s="3"/>
      <c r="D15" s="5" t="s">
        <v>25</v>
      </c>
      <c r="E15" s="5">
        <f>COUNTIFS('Issue Resolution Log'!D2:D12,D15,'Issue Resolution Log'!G2:G12,"&lt;&gt;Resolved")</f>
        <v>0</v>
      </c>
      <c r="F15" s="3"/>
      <c r="G15" s="5" t="s">
        <v>26</v>
      </c>
      <c r="H15" s="5">
        <f>COUNTIF('Issue Resolution Log'!C2:C12,G15)</f>
        <v>1</v>
      </c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5" t="s">
        <v>27</v>
      </c>
      <c r="E16" s="5">
        <f>COUNTIFS('Issue Resolution Log'!D2:D12,D16,'Issue Resolution Log'!G2:G12,"&lt;&gt;Resolved")</f>
        <v>1</v>
      </c>
      <c r="F16" s="3"/>
      <c r="G16" s="5" t="s">
        <v>28</v>
      </c>
      <c r="H16" s="5">
        <f>COUNTIF('Issue Resolution Log'!C2:C12,G16)</f>
        <v>1</v>
      </c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5" t="s">
        <v>29</v>
      </c>
      <c r="E17" s="5">
        <f>COUNTIFS('Issue Resolution Log'!D2:D12,D17,'Issue Resolution Log'!G2:G12,"&lt;&gt;Resolved")</f>
        <v>1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13">
    <mergeCell ref="A6:B7"/>
    <mergeCell ref="C6:D7"/>
    <mergeCell ref="E6:F7"/>
    <mergeCell ref="G6:H7"/>
    <mergeCell ref="I6:J7"/>
    <mergeCell ref="A1:J1"/>
    <mergeCell ref="A2:J2"/>
    <mergeCell ref="A4:J4"/>
    <mergeCell ref="A5:B5"/>
    <mergeCell ref="C5:D5"/>
    <mergeCell ref="E5:F5"/>
    <mergeCell ref="G5:H5"/>
    <mergeCell ref="I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"/>
  <sheetViews>
    <sheetView workbookViewId="0">
      <selection sqref="A1:F1"/>
    </sheetView>
  </sheetViews>
  <sheetFormatPr defaultRowHeight="13.8"/>
  <cols>
    <col min="1" max="1" width="44.8984375" customWidth="1"/>
    <col min="2" max="2" width="38.09765625" customWidth="1"/>
    <col min="3" max="3" width="20.69921875" customWidth="1"/>
    <col min="4" max="4" width="18.796875" customWidth="1"/>
    <col min="5" max="5" width="24.5" customWidth="1"/>
    <col min="6" max="6" width="15.8984375" customWidth="1"/>
  </cols>
  <sheetData>
    <row r="1" spans="1:14" ht="22.35" customHeight="1">
      <c r="A1" s="6" t="s">
        <v>30</v>
      </c>
      <c r="B1" s="6"/>
      <c r="C1" s="6"/>
      <c r="D1" s="6"/>
      <c r="E1" s="6"/>
      <c r="F1" s="6"/>
      <c r="G1" s="3"/>
      <c r="H1" s="3"/>
      <c r="I1" s="3"/>
      <c r="J1" s="3"/>
      <c r="K1" s="3"/>
      <c r="L1" s="3"/>
      <c r="M1" s="3"/>
      <c r="N1" s="3"/>
    </row>
    <row r="2" spans="1:14">
      <c r="A2" s="7" t="s">
        <v>31</v>
      </c>
      <c r="B2" s="7"/>
      <c r="C2" s="7"/>
      <c r="D2" s="7"/>
      <c r="E2" s="7"/>
      <c r="F2" s="7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10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3"/>
      <c r="H4" s="3"/>
      <c r="I4" s="3"/>
      <c r="J4" s="3"/>
      <c r="K4" s="3"/>
      <c r="L4" s="3"/>
      <c r="M4" s="3"/>
      <c r="N4" s="3"/>
    </row>
    <row r="5" spans="1:14" ht="27.6">
      <c r="A5" s="1" t="s">
        <v>13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"/>
      <c r="H5" s="3"/>
      <c r="I5" s="3"/>
      <c r="J5" s="3"/>
      <c r="K5" s="3"/>
      <c r="L5" s="3"/>
      <c r="M5" s="3"/>
      <c r="N5" s="3"/>
    </row>
    <row r="6" spans="1:14" ht="27.6">
      <c r="A6" s="1" t="s">
        <v>16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3"/>
      <c r="H6" s="3"/>
      <c r="I6" s="3"/>
      <c r="J6" s="3"/>
      <c r="K6" s="3"/>
      <c r="L6" s="3"/>
      <c r="M6" s="3"/>
      <c r="N6" s="3"/>
    </row>
    <row r="7" spans="1:14" ht="27.6">
      <c r="A7" s="1" t="s">
        <v>19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3"/>
      <c r="H7" s="3"/>
      <c r="I7" s="3"/>
      <c r="J7" s="3"/>
      <c r="K7" s="3"/>
      <c r="L7" s="3"/>
      <c r="M7" s="3"/>
      <c r="N7" s="3"/>
    </row>
    <row r="8" spans="1:14">
      <c r="A8" s="1" t="s">
        <v>22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3"/>
      <c r="H8" s="3"/>
      <c r="I8" s="3"/>
      <c r="J8" s="3"/>
      <c r="K8" s="3"/>
      <c r="L8" s="3"/>
      <c r="M8" s="3"/>
      <c r="N8" s="3"/>
    </row>
    <row r="9" spans="1:14">
      <c r="A9" s="1" t="s">
        <v>25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46</v>
      </c>
      <c r="G9" s="3"/>
      <c r="H9" s="3"/>
      <c r="I9" s="3"/>
      <c r="J9" s="3"/>
      <c r="K9" s="3"/>
      <c r="L9" s="3"/>
      <c r="M9" s="3"/>
      <c r="N9" s="3"/>
    </row>
    <row r="10" spans="1:14" ht="27.6">
      <c r="A10" s="1" t="s">
        <v>27</v>
      </c>
      <c r="B10" s="1" t="s">
        <v>61</v>
      </c>
      <c r="C10" s="1" t="s">
        <v>62</v>
      </c>
      <c r="D10" s="1" t="s">
        <v>63</v>
      </c>
      <c r="E10" s="1" t="s">
        <v>45</v>
      </c>
      <c r="F10" s="1" t="s">
        <v>46</v>
      </c>
      <c r="G10" s="3"/>
      <c r="H10" s="3"/>
      <c r="I10" s="3"/>
      <c r="J10" s="3"/>
      <c r="K10" s="3"/>
      <c r="L10" s="3"/>
      <c r="M10" s="3"/>
      <c r="N10" s="3"/>
    </row>
    <row r="11" spans="1:14" ht="27.6">
      <c r="A11" s="1" t="s">
        <v>29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"/>
  <sheetViews>
    <sheetView workbookViewId="0">
      <selection sqref="A1:N1"/>
    </sheetView>
  </sheetViews>
  <sheetFormatPr defaultRowHeight="13.8"/>
  <cols>
    <col min="1" max="2" width="15" customWidth="1"/>
    <col min="3" max="3" width="16" customWidth="1"/>
    <col min="4" max="6" width="22" customWidth="1"/>
    <col min="7" max="7" width="28" customWidth="1"/>
    <col min="8" max="12" width="18" customWidth="1"/>
    <col min="13" max="13" width="25" customWidth="1"/>
    <col min="14" max="14" width="30" customWidth="1"/>
  </cols>
  <sheetData>
    <row r="1" spans="1:14" ht="22.35" customHeight="1">
      <c r="A1" s="6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7" t="s">
        <v>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71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  <c r="I4" s="4" t="s">
        <v>79</v>
      </c>
      <c r="J4" s="4" t="s">
        <v>80</v>
      </c>
      <c r="K4" s="4" t="s">
        <v>81</v>
      </c>
      <c r="L4" s="4" t="s">
        <v>8</v>
      </c>
      <c r="M4" s="4" t="s">
        <v>82</v>
      </c>
      <c r="N4" s="4" t="s">
        <v>83</v>
      </c>
    </row>
    <row r="5" spans="1:14" ht="27.6">
      <c r="A5" s="2">
        <v>46188</v>
      </c>
      <c r="B5" s="1" t="s">
        <v>84</v>
      </c>
      <c r="C5" s="1" t="s">
        <v>85</v>
      </c>
      <c r="D5" s="1" t="s">
        <v>86</v>
      </c>
      <c r="E5" s="1" t="s">
        <v>13</v>
      </c>
      <c r="F5" s="1" t="s">
        <v>16</v>
      </c>
      <c r="G5" s="1" t="s">
        <v>87</v>
      </c>
      <c r="H5" s="1" t="s">
        <v>88</v>
      </c>
      <c r="I5" s="1" t="s">
        <v>89</v>
      </c>
      <c r="J5" s="1" t="s">
        <v>43</v>
      </c>
      <c r="K5" s="1" t="s">
        <v>90</v>
      </c>
      <c r="L5" s="1" t="s">
        <v>15</v>
      </c>
      <c r="M5" s="1" t="s">
        <v>91</v>
      </c>
      <c r="N5" s="1" t="s">
        <v>92</v>
      </c>
    </row>
    <row r="6" spans="1:14">
      <c r="A6" s="2">
        <v>46188</v>
      </c>
      <c r="B6" s="1" t="s">
        <v>93</v>
      </c>
      <c r="C6" s="1" t="s">
        <v>94</v>
      </c>
      <c r="D6" s="1" t="s">
        <v>95</v>
      </c>
      <c r="E6" s="1" t="s">
        <v>22</v>
      </c>
      <c r="F6" s="1" t="s">
        <v>13</v>
      </c>
      <c r="G6" s="1" t="s">
        <v>96</v>
      </c>
      <c r="H6" s="1" t="s">
        <v>97</v>
      </c>
      <c r="I6" s="1" t="s">
        <v>98</v>
      </c>
      <c r="J6" s="1" t="s">
        <v>53</v>
      </c>
      <c r="K6" s="1" t="s">
        <v>99</v>
      </c>
      <c r="L6" s="1" t="s">
        <v>12</v>
      </c>
      <c r="M6" s="1" t="s">
        <v>100</v>
      </c>
      <c r="N6" s="1" t="s">
        <v>101</v>
      </c>
    </row>
    <row r="7" spans="1:14">
      <c r="A7" s="2">
        <v>46188</v>
      </c>
      <c r="B7" s="1" t="s">
        <v>102</v>
      </c>
      <c r="C7" s="1" t="s">
        <v>103</v>
      </c>
      <c r="D7" s="1" t="s">
        <v>104</v>
      </c>
      <c r="E7" s="1" t="s">
        <v>19</v>
      </c>
      <c r="F7" s="1" t="s">
        <v>25</v>
      </c>
      <c r="G7" s="1" t="s">
        <v>105</v>
      </c>
      <c r="H7" s="1" t="s">
        <v>97</v>
      </c>
      <c r="I7" s="1" t="s">
        <v>106</v>
      </c>
      <c r="J7" s="1" t="s">
        <v>48</v>
      </c>
      <c r="K7" s="1" t="s">
        <v>107</v>
      </c>
      <c r="L7" s="1" t="s">
        <v>18</v>
      </c>
      <c r="M7" s="1" t="s">
        <v>108</v>
      </c>
      <c r="N7" s="1" t="s">
        <v>109</v>
      </c>
    </row>
    <row r="8" spans="1:14">
      <c r="A8" s="2">
        <v>46188</v>
      </c>
      <c r="B8" s="1" t="s">
        <v>110</v>
      </c>
      <c r="C8" s="1" t="s">
        <v>111</v>
      </c>
      <c r="D8" s="1" t="s">
        <v>112</v>
      </c>
      <c r="E8" s="1" t="s">
        <v>16</v>
      </c>
      <c r="F8" s="1" t="s">
        <v>27</v>
      </c>
      <c r="G8" s="1" t="s">
        <v>113</v>
      </c>
      <c r="H8" s="1" t="s">
        <v>88</v>
      </c>
      <c r="I8" s="1" t="s">
        <v>89</v>
      </c>
      <c r="J8" s="1" t="s">
        <v>44</v>
      </c>
      <c r="K8" s="1" t="s">
        <v>114</v>
      </c>
      <c r="L8" s="1" t="s">
        <v>21</v>
      </c>
      <c r="M8" s="1" t="s">
        <v>115</v>
      </c>
      <c r="N8" s="1" t="s">
        <v>116</v>
      </c>
    </row>
    <row r="9" spans="1:14" ht="27.6">
      <c r="A9" s="2">
        <v>46188</v>
      </c>
      <c r="B9" s="1" t="s">
        <v>117</v>
      </c>
      <c r="C9" s="1" t="s">
        <v>118</v>
      </c>
      <c r="D9" s="1" t="s">
        <v>119</v>
      </c>
      <c r="E9" s="1" t="s">
        <v>13</v>
      </c>
      <c r="F9" s="1" t="s">
        <v>120</v>
      </c>
      <c r="G9" s="1" t="s">
        <v>121</v>
      </c>
      <c r="H9" s="1" t="s">
        <v>88</v>
      </c>
      <c r="I9" s="1" t="s">
        <v>89</v>
      </c>
      <c r="J9" s="1" t="s">
        <v>122</v>
      </c>
      <c r="K9" s="1" t="s">
        <v>123</v>
      </c>
      <c r="L9" s="1" t="s">
        <v>15</v>
      </c>
      <c r="M9" s="1" t="s">
        <v>124</v>
      </c>
      <c r="N9" s="1" t="s">
        <v>125</v>
      </c>
    </row>
    <row r="10" spans="1:14">
      <c r="A10" s="2">
        <v>46188</v>
      </c>
      <c r="B10" s="1" t="s">
        <v>126</v>
      </c>
      <c r="C10" s="1" t="s">
        <v>127</v>
      </c>
      <c r="D10" s="1" t="s">
        <v>128</v>
      </c>
      <c r="E10" s="1" t="s">
        <v>25</v>
      </c>
      <c r="F10" s="1" t="s">
        <v>22</v>
      </c>
      <c r="G10" s="1" t="s">
        <v>129</v>
      </c>
      <c r="H10" s="1" t="s">
        <v>97</v>
      </c>
      <c r="I10" s="1" t="s">
        <v>130</v>
      </c>
      <c r="J10" s="1" t="s">
        <v>54</v>
      </c>
      <c r="K10" s="1" t="s">
        <v>131</v>
      </c>
      <c r="L10" s="1" t="s">
        <v>18</v>
      </c>
      <c r="M10" s="1" t="s">
        <v>132</v>
      </c>
      <c r="N10" s="1" t="s">
        <v>133</v>
      </c>
    </row>
    <row r="11" spans="1:14">
      <c r="A11" s="2">
        <v>46188</v>
      </c>
      <c r="B11" s="1" t="s">
        <v>134</v>
      </c>
      <c r="C11" s="1" t="s">
        <v>135</v>
      </c>
      <c r="D11" s="1" t="s">
        <v>136</v>
      </c>
      <c r="E11" s="1" t="s">
        <v>27</v>
      </c>
      <c r="F11" s="1" t="s">
        <v>19</v>
      </c>
      <c r="G11" s="1" t="s">
        <v>137</v>
      </c>
      <c r="H11" s="1" t="s">
        <v>97</v>
      </c>
      <c r="I11" s="1" t="s">
        <v>98</v>
      </c>
      <c r="J11" s="1" t="s">
        <v>49</v>
      </c>
      <c r="K11" s="1" t="s">
        <v>138</v>
      </c>
      <c r="L11" s="1" t="s">
        <v>12</v>
      </c>
      <c r="M11" s="1" t="s">
        <v>139</v>
      </c>
      <c r="N11" s="1" t="s">
        <v>140</v>
      </c>
    </row>
    <row r="12" spans="1:14" ht="27.6">
      <c r="A12" s="2">
        <v>46188</v>
      </c>
      <c r="B12" s="1" t="s">
        <v>141</v>
      </c>
      <c r="C12" s="1" t="s">
        <v>142</v>
      </c>
      <c r="D12" s="1" t="s">
        <v>143</v>
      </c>
      <c r="E12" s="1" t="s">
        <v>29</v>
      </c>
      <c r="F12" s="1" t="s">
        <v>13</v>
      </c>
      <c r="G12" s="1" t="s">
        <v>144</v>
      </c>
      <c r="H12" s="1" t="s">
        <v>145</v>
      </c>
      <c r="I12" s="1" t="s">
        <v>106</v>
      </c>
      <c r="J12" s="1" t="s">
        <v>65</v>
      </c>
      <c r="K12" s="1" t="s">
        <v>146</v>
      </c>
      <c r="L12" s="1" t="s">
        <v>12</v>
      </c>
      <c r="M12" s="1" t="s">
        <v>147</v>
      </c>
      <c r="N12" s="1" t="s">
        <v>148</v>
      </c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N1"/>
    <mergeCell ref="A2:N2"/>
  </mergeCells>
  <conditionalFormatting sqref="H5:H100">
    <cfRule type="expression" dxfId="9" priority="1">
      <formula>OR(H5="High",H5="Critical",H5="Overdue",H5="No")</formula>
    </cfRule>
    <cfRule type="expression" dxfId="8" priority="2">
      <formula>OR(H5="Resolved",H5="Closed",H5="Yes")</formula>
    </cfRule>
  </conditionalFormatting>
  <conditionalFormatting sqref="L5:L100">
    <cfRule type="expression" dxfId="7" priority="3">
      <formula>OR(L5="High",L5="Critical",L5="Overdue",L5="No")</formula>
    </cfRule>
    <cfRule type="expression" dxfId="6" priority="4">
      <formula>OR(L5="Resolved",L5="Closed",L5="Yes")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'Validation Lists'!$A$5:$A$12</xm:f>
          </x14:formula1>
          <xm:sqref>E5:F100</xm:sqref>
        </x14:dataValidation>
        <x14:dataValidation type="list" xr:uid="{00000000-0002-0000-0200-000002000000}">
          <x14:formula1>
            <xm:f>'Validation Lists'!$B$5:$B$8</xm:f>
          </x14:formula1>
          <xm:sqref>H5:H100</xm:sqref>
        </x14:dataValidation>
        <x14:dataValidation type="list" xr:uid="{00000000-0002-0000-0200-000003000000}">
          <x14:formula1>
            <xm:f>'Validation Lists'!$D$5:$D$9</xm:f>
          </x14:formula1>
          <xm:sqref>I5:I100</xm:sqref>
        </x14:dataValidation>
        <x14:dataValidation type="list" xr:uid="{00000000-0002-0000-0200-000004000000}">
          <x14:formula1>
            <xm:f>'Validation Lists'!$C$5:$C$10</xm:f>
          </x14:formula1>
          <xm:sqref>L5:L100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0"/>
  <sheetViews>
    <sheetView workbookViewId="0">
      <selection sqref="A1:F1"/>
    </sheetView>
  </sheetViews>
  <sheetFormatPr defaultRowHeight="13.8"/>
  <cols>
    <col min="1" max="1" width="45.5" customWidth="1"/>
    <col min="2" max="2" width="18.69921875" customWidth="1"/>
    <col min="3" max="3" width="20.69921875" customWidth="1"/>
    <col min="4" max="4" width="15.8984375" customWidth="1"/>
    <col min="5" max="5" width="38.796875" customWidth="1"/>
    <col min="6" max="6" width="41.69921875" customWidth="1"/>
  </cols>
  <sheetData>
    <row r="1" spans="1:14" ht="22.35" customHeight="1">
      <c r="A1" s="6" t="s">
        <v>149</v>
      </c>
      <c r="B1" s="6"/>
      <c r="C1" s="6"/>
      <c r="D1" s="6"/>
      <c r="E1" s="6"/>
      <c r="F1" s="6"/>
      <c r="G1" s="3"/>
      <c r="H1" s="3"/>
      <c r="I1" s="3"/>
      <c r="J1" s="3"/>
      <c r="K1" s="3"/>
      <c r="L1" s="3"/>
      <c r="M1" s="3"/>
      <c r="N1" s="3"/>
    </row>
    <row r="2" spans="1:14">
      <c r="A2" s="7" t="s">
        <v>150</v>
      </c>
      <c r="B2" s="7"/>
      <c r="C2" s="7"/>
      <c r="D2" s="7"/>
      <c r="E2" s="7"/>
      <c r="F2" s="7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151</v>
      </c>
      <c r="B4" s="4" t="s">
        <v>152</v>
      </c>
      <c r="C4" s="4" t="s">
        <v>153</v>
      </c>
      <c r="D4" s="4" t="s">
        <v>36</v>
      </c>
      <c r="E4" s="4" t="s">
        <v>154</v>
      </c>
      <c r="F4" s="4" t="s">
        <v>155</v>
      </c>
      <c r="G4" s="3"/>
      <c r="H4" s="3"/>
      <c r="I4" s="3"/>
      <c r="J4" s="3"/>
      <c r="K4" s="3"/>
      <c r="L4" s="3"/>
      <c r="M4" s="3"/>
      <c r="N4" s="3"/>
    </row>
    <row r="5" spans="1:14" ht="27.6">
      <c r="A5" s="1" t="s">
        <v>14</v>
      </c>
      <c r="B5" s="1" t="s">
        <v>43</v>
      </c>
      <c r="C5" s="1" t="s">
        <v>65</v>
      </c>
      <c r="D5" s="1" t="s">
        <v>51</v>
      </c>
      <c r="E5" s="1" t="s">
        <v>156</v>
      </c>
      <c r="F5" s="1" t="s">
        <v>157</v>
      </c>
      <c r="G5" s="3"/>
      <c r="H5" s="3"/>
      <c r="I5" s="3"/>
      <c r="J5" s="3"/>
      <c r="K5" s="3"/>
      <c r="L5" s="3"/>
      <c r="M5" s="3"/>
      <c r="N5" s="3"/>
    </row>
    <row r="6" spans="1:14">
      <c r="A6" s="1" t="s">
        <v>17</v>
      </c>
      <c r="B6" s="1" t="s">
        <v>53</v>
      </c>
      <c r="C6" s="1" t="s">
        <v>54</v>
      </c>
      <c r="D6" s="1" t="s">
        <v>56</v>
      </c>
      <c r="E6" s="1" t="s">
        <v>158</v>
      </c>
      <c r="F6" s="1" t="s">
        <v>159</v>
      </c>
      <c r="G6" s="3"/>
      <c r="H6" s="3"/>
      <c r="I6" s="3"/>
      <c r="J6" s="3"/>
      <c r="K6" s="3"/>
      <c r="L6" s="3"/>
      <c r="M6" s="3"/>
      <c r="N6" s="3"/>
    </row>
    <row r="7" spans="1:14">
      <c r="A7" s="1" t="s">
        <v>20</v>
      </c>
      <c r="B7" s="1" t="s">
        <v>48</v>
      </c>
      <c r="C7" s="1" t="s">
        <v>49</v>
      </c>
      <c r="D7" s="1" t="s">
        <v>51</v>
      </c>
      <c r="E7" s="1" t="s">
        <v>160</v>
      </c>
      <c r="F7" s="1" t="s">
        <v>161</v>
      </c>
      <c r="G7" s="3"/>
      <c r="H7" s="3"/>
      <c r="I7" s="3"/>
      <c r="J7" s="3"/>
      <c r="K7" s="3"/>
      <c r="L7" s="3"/>
      <c r="M7" s="3"/>
      <c r="N7" s="3"/>
    </row>
    <row r="8" spans="1:14">
      <c r="A8" s="1" t="s">
        <v>23</v>
      </c>
      <c r="B8" s="1" t="s">
        <v>44</v>
      </c>
      <c r="C8" s="1" t="s">
        <v>66</v>
      </c>
      <c r="D8" s="1" t="s">
        <v>46</v>
      </c>
      <c r="E8" s="1" t="s">
        <v>162</v>
      </c>
      <c r="F8" s="1" t="s">
        <v>163</v>
      </c>
      <c r="G8" s="3"/>
      <c r="H8" s="3"/>
      <c r="I8" s="3"/>
      <c r="J8" s="3"/>
      <c r="K8" s="3"/>
      <c r="L8" s="3"/>
      <c r="M8" s="3"/>
      <c r="N8" s="3"/>
    </row>
    <row r="9" spans="1:14">
      <c r="A9" s="1" t="s">
        <v>26</v>
      </c>
      <c r="B9" s="1" t="s">
        <v>38</v>
      </c>
      <c r="C9" s="1" t="s">
        <v>122</v>
      </c>
      <c r="D9" s="1" t="s">
        <v>68</v>
      </c>
      <c r="E9" s="1" t="s">
        <v>164</v>
      </c>
      <c r="F9" s="1" t="s">
        <v>165</v>
      </c>
      <c r="G9" s="3"/>
      <c r="H9" s="3"/>
      <c r="I9" s="3"/>
      <c r="J9" s="3"/>
      <c r="K9" s="3"/>
      <c r="L9" s="3"/>
      <c r="M9" s="3"/>
      <c r="N9" s="3"/>
    </row>
    <row r="10" spans="1:14" ht="27.6">
      <c r="A10" s="1" t="s">
        <v>166</v>
      </c>
      <c r="B10" s="1" t="s">
        <v>58</v>
      </c>
      <c r="C10" s="1" t="s">
        <v>63</v>
      </c>
      <c r="D10" s="1" t="s">
        <v>68</v>
      </c>
      <c r="E10" s="1" t="s">
        <v>167</v>
      </c>
      <c r="F10" s="1" t="s">
        <v>168</v>
      </c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0"/>
  <sheetViews>
    <sheetView workbookViewId="0">
      <selection sqref="A1:L1"/>
    </sheetView>
  </sheetViews>
  <sheetFormatPr defaultRowHeight="13.8"/>
  <cols>
    <col min="1" max="1" width="56.5" customWidth="1"/>
    <col min="2" max="2" width="8.59765625" customWidth="1"/>
    <col min="3" max="3" width="17.19921875" customWidth="1"/>
    <col min="4" max="4" width="22.8984375" customWidth="1"/>
    <col min="5" max="5" width="8.8984375" customWidth="1"/>
    <col min="6" max="6" width="28" customWidth="1"/>
    <col min="7" max="7" width="10.8984375" customWidth="1"/>
    <col min="8" max="8" width="13.59765625" customWidth="1"/>
    <col min="9" max="9" width="18.59765625" customWidth="1"/>
    <col min="10" max="10" width="18.69921875" customWidth="1"/>
    <col min="11" max="11" width="21" customWidth="1"/>
    <col min="12" max="12" width="40" customWidth="1"/>
  </cols>
  <sheetData>
    <row r="1" spans="1:14" ht="22.35" customHeight="1">
      <c r="A1" s="6" t="s">
        <v>169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3"/>
      <c r="N1" s="3"/>
    </row>
    <row r="2" spans="1:14">
      <c r="A2" s="7" t="s">
        <v>170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71</v>
      </c>
      <c r="B4" s="4" t="s">
        <v>73</v>
      </c>
      <c r="C4" s="4" t="s">
        <v>11</v>
      </c>
      <c r="D4" s="4" t="s">
        <v>171</v>
      </c>
      <c r="E4" s="4" t="s">
        <v>78</v>
      </c>
      <c r="F4" s="4" t="s">
        <v>172</v>
      </c>
      <c r="G4" s="4" t="s">
        <v>8</v>
      </c>
      <c r="H4" s="4" t="s">
        <v>173</v>
      </c>
      <c r="I4" s="4" t="s">
        <v>174</v>
      </c>
      <c r="J4" s="4" t="s">
        <v>175</v>
      </c>
      <c r="K4" s="4" t="s">
        <v>176</v>
      </c>
      <c r="L4" s="4" t="s">
        <v>177</v>
      </c>
      <c r="M4" s="3"/>
      <c r="N4" s="3"/>
    </row>
    <row r="5" spans="1:14" ht="27.6">
      <c r="A5" s="2">
        <v>46188</v>
      </c>
      <c r="B5" s="1" t="s">
        <v>178</v>
      </c>
      <c r="C5" s="1" t="s">
        <v>14</v>
      </c>
      <c r="D5" s="1" t="s">
        <v>16</v>
      </c>
      <c r="E5" s="1" t="s">
        <v>88</v>
      </c>
      <c r="F5" s="1" t="s">
        <v>179</v>
      </c>
      <c r="G5" s="1" t="s">
        <v>15</v>
      </c>
      <c r="H5" s="1" t="s">
        <v>84</v>
      </c>
      <c r="I5" s="1">
        <v>25</v>
      </c>
      <c r="J5" s="1" t="s">
        <v>180</v>
      </c>
      <c r="K5" s="1" t="s">
        <v>181</v>
      </c>
      <c r="L5" s="1" t="s">
        <v>182</v>
      </c>
      <c r="M5" s="3"/>
      <c r="N5" s="3"/>
    </row>
    <row r="6" spans="1:14" ht="27.6">
      <c r="A6" s="2">
        <v>46188</v>
      </c>
      <c r="B6" s="1" t="s">
        <v>183</v>
      </c>
      <c r="C6" s="1" t="s">
        <v>17</v>
      </c>
      <c r="D6" s="1" t="s">
        <v>22</v>
      </c>
      <c r="E6" s="1" t="s">
        <v>97</v>
      </c>
      <c r="F6" s="1" t="s">
        <v>184</v>
      </c>
      <c r="G6" s="1" t="s">
        <v>12</v>
      </c>
      <c r="H6" s="1" t="s">
        <v>93</v>
      </c>
      <c r="I6" s="1">
        <v>40</v>
      </c>
      <c r="J6" s="1" t="s">
        <v>185</v>
      </c>
      <c r="K6" s="1" t="s">
        <v>181</v>
      </c>
      <c r="L6" s="1" t="s">
        <v>186</v>
      </c>
      <c r="M6" s="3"/>
      <c r="N6" s="3"/>
    </row>
    <row r="7" spans="1:14" ht="27.6">
      <c r="A7" s="2">
        <v>46188</v>
      </c>
      <c r="B7" s="1" t="s">
        <v>187</v>
      </c>
      <c r="C7" s="1" t="s">
        <v>20</v>
      </c>
      <c r="D7" s="1" t="s">
        <v>19</v>
      </c>
      <c r="E7" s="1" t="s">
        <v>97</v>
      </c>
      <c r="F7" s="1" t="s">
        <v>188</v>
      </c>
      <c r="G7" s="1" t="s">
        <v>18</v>
      </c>
      <c r="H7" s="1" t="s">
        <v>102</v>
      </c>
      <c r="I7" s="1">
        <v>12</v>
      </c>
      <c r="J7" s="1" t="s">
        <v>185</v>
      </c>
      <c r="K7" s="1" t="s">
        <v>181</v>
      </c>
      <c r="L7" s="1" t="s">
        <v>189</v>
      </c>
      <c r="M7" s="3"/>
      <c r="N7" s="3"/>
    </row>
    <row r="8" spans="1:14" ht="27.6">
      <c r="A8" s="2">
        <v>46188</v>
      </c>
      <c r="B8" s="1" t="s">
        <v>190</v>
      </c>
      <c r="C8" s="1" t="s">
        <v>23</v>
      </c>
      <c r="D8" s="1" t="s">
        <v>27</v>
      </c>
      <c r="E8" s="1" t="s">
        <v>88</v>
      </c>
      <c r="F8" s="1" t="s">
        <v>191</v>
      </c>
      <c r="G8" s="1" t="s">
        <v>21</v>
      </c>
      <c r="H8" s="1" t="s">
        <v>110</v>
      </c>
      <c r="I8" s="1">
        <v>35</v>
      </c>
      <c r="J8" s="1" t="s">
        <v>180</v>
      </c>
      <c r="K8" s="1" t="s">
        <v>181</v>
      </c>
      <c r="L8" s="1" t="s">
        <v>192</v>
      </c>
      <c r="M8" s="3"/>
      <c r="N8" s="3"/>
    </row>
    <row r="9" spans="1:14" ht="27.6">
      <c r="A9" s="2">
        <v>46188</v>
      </c>
      <c r="B9" s="1" t="s">
        <v>193</v>
      </c>
      <c r="C9" s="1" t="s">
        <v>26</v>
      </c>
      <c r="D9" s="1" t="s">
        <v>13</v>
      </c>
      <c r="E9" s="1" t="s">
        <v>88</v>
      </c>
      <c r="F9" s="1" t="s">
        <v>194</v>
      </c>
      <c r="G9" s="1" t="s">
        <v>15</v>
      </c>
      <c r="H9" s="1" t="s">
        <v>117</v>
      </c>
      <c r="I9" s="1">
        <v>18</v>
      </c>
      <c r="J9" s="1" t="s">
        <v>180</v>
      </c>
      <c r="K9" s="1" t="s">
        <v>181</v>
      </c>
      <c r="L9" s="1" t="s">
        <v>195</v>
      </c>
      <c r="M9" s="3"/>
      <c r="N9" s="3"/>
    </row>
    <row r="10" spans="1:14" ht="27.6">
      <c r="A10" s="2">
        <v>46188</v>
      </c>
      <c r="B10" s="1" t="s">
        <v>196</v>
      </c>
      <c r="C10" s="1" t="s">
        <v>17</v>
      </c>
      <c r="D10" s="1" t="s">
        <v>22</v>
      </c>
      <c r="E10" s="1" t="s">
        <v>97</v>
      </c>
      <c r="F10" s="1" t="s">
        <v>197</v>
      </c>
      <c r="G10" s="1" t="s">
        <v>18</v>
      </c>
      <c r="H10" s="1" t="s">
        <v>126</v>
      </c>
      <c r="I10" s="1">
        <v>15</v>
      </c>
      <c r="J10" s="1" t="s">
        <v>185</v>
      </c>
      <c r="K10" s="1" t="s">
        <v>181</v>
      </c>
      <c r="L10" s="1" t="s">
        <v>198</v>
      </c>
      <c r="M10" s="3"/>
      <c r="N10" s="3"/>
    </row>
    <row r="11" spans="1:14" ht="27.6">
      <c r="A11" s="2">
        <v>46188</v>
      </c>
      <c r="B11" s="1" t="s">
        <v>199</v>
      </c>
      <c r="C11" s="1" t="s">
        <v>28</v>
      </c>
      <c r="D11" s="1" t="s">
        <v>19</v>
      </c>
      <c r="E11" s="1" t="s">
        <v>97</v>
      </c>
      <c r="F11" s="1" t="s">
        <v>200</v>
      </c>
      <c r="G11" s="1" t="s">
        <v>12</v>
      </c>
      <c r="H11" s="1" t="s">
        <v>134</v>
      </c>
      <c r="I11" s="1">
        <v>50</v>
      </c>
      <c r="J11" s="1" t="s">
        <v>185</v>
      </c>
      <c r="K11" s="1" t="s">
        <v>201</v>
      </c>
      <c r="L11" s="1" t="s">
        <v>202</v>
      </c>
      <c r="M11" s="3"/>
      <c r="N11" s="3"/>
    </row>
    <row r="12" spans="1:14" ht="27.6">
      <c r="A12" s="2">
        <v>46188</v>
      </c>
      <c r="B12" s="1" t="s">
        <v>203</v>
      </c>
      <c r="C12" s="1" t="s">
        <v>14</v>
      </c>
      <c r="D12" s="1" t="s">
        <v>29</v>
      </c>
      <c r="E12" s="1" t="s">
        <v>145</v>
      </c>
      <c r="F12" s="1" t="s">
        <v>204</v>
      </c>
      <c r="G12" s="1" t="s">
        <v>12</v>
      </c>
      <c r="H12" s="1" t="s">
        <v>141</v>
      </c>
      <c r="I12" s="1">
        <v>30</v>
      </c>
      <c r="J12" s="1" t="s">
        <v>185</v>
      </c>
      <c r="K12" s="1" t="s">
        <v>181</v>
      </c>
      <c r="L12" s="1" t="s">
        <v>205</v>
      </c>
      <c r="M12" s="3"/>
      <c r="N12" s="3"/>
    </row>
    <row r="13" spans="1:14" ht="27.6">
      <c r="A13" s="2">
        <v>46189</v>
      </c>
      <c r="B13" s="1" t="s">
        <v>206</v>
      </c>
      <c r="C13" s="1" t="s">
        <v>20</v>
      </c>
      <c r="D13" s="1" t="s">
        <v>19</v>
      </c>
      <c r="E13" s="1" t="s">
        <v>88</v>
      </c>
      <c r="F13" s="1" t="s">
        <v>207</v>
      </c>
      <c r="G13" s="1" t="s">
        <v>18</v>
      </c>
      <c r="H13" s="1" t="s">
        <v>208</v>
      </c>
      <c r="I13" s="1">
        <v>10</v>
      </c>
      <c r="J13" s="1" t="s">
        <v>185</v>
      </c>
      <c r="K13" s="1" t="s">
        <v>181</v>
      </c>
      <c r="L13" s="1" t="s">
        <v>209</v>
      </c>
      <c r="M13" s="3"/>
      <c r="N13" s="3"/>
    </row>
    <row r="14" spans="1:14" ht="27.6">
      <c r="A14" s="2">
        <v>46189</v>
      </c>
      <c r="B14" s="1" t="s">
        <v>210</v>
      </c>
      <c r="C14" s="1" t="s">
        <v>23</v>
      </c>
      <c r="D14" s="1" t="s">
        <v>25</v>
      </c>
      <c r="E14" s="1" t="s">
        <v>97</v>
      </c>
      <c r="F14" s="1" t="s">
        <v>211</v>
      </c>
      <c r="G14" s="1" t="s">
        <v>24</v>
      </c>
      <c r="H14" s="1" t="s">
        <v>212</v>
      </c>
      <c r="I14" s="1">
        <v>65</v>
      </c>
      <c r="J14" s="1" t="s">
        <v>180</v>
      </c>
      <c r="K14" s="1" t="s">
        <v>181</v>
      </c>
      <c r="L14" s="1" t="s">
        <v>213</v>
      </c>
      <c r="M14" s="3"/>
      <c r="N14" s="3"/>
    </row>
    <row r="15" spans="1:14" ht="27.6">
      <c r="A15" s="2">
        <v>46189</v>
      </c>
      <c r="B15" s="1" t="s">
        <v>214</v>
      </c>
      <c r="C15" s="1" t="s">
        <v>26</v>
      </c>
      <c r="D15" s="1" t="s">
        <v>120</v>
      </c>
      <c r="E15" s="1" t="s">
        <v>88</v>
      </c>
      <c r="F15" s="1" t="s">
        <v>215</v>
      </c>
      <c r="G15" s="1" t="s">
        <v>18</v>
      </c>
      <c r="H15" s="1" t="s">
        <v>216</v>
      </c>
      <c r="I15" s="1">
        <v>20</v>
      </c>
      <c r="J15" s="1" t="s">
        <v>180</v>
      </c>
      <c r="K15" s="1" t="s">
        <v>181</v>
      </c>
      <c r="L15" s="1" t="s">
        <v>217</v>
      </c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L1"/>
    <mergeCell ref="A2:L2"/>
  </mergeCells>
  <conditionalFormatting sqref="E5:E100">
    <cfRule type="expression" dxfId="5" priority="1">
      <formula>OR(E5="High",E5="Critical",E5="Overdue",E5="No")</formula>
    </cfRule>
    <cfRule type="expression" dxfId="4" priority="2">
      <formula>OR(E5="Resolved",E5="Closed",E5="Yes")</formula>
    </cfRule>
  </conditionalFormatting>
  <conditionalFormatting sqref="G5:G100">
    <cfRule type="expression" dxfId="3" priority="3">
      <formula>OR(G5="High",G5="Critical",G5="Overdue",G5="No")</formula>
    </cfRule>
    <cfRule type="expression" dxfId="2" priority="4">
      <formula>OR(G5="Resolved",G5="Closed",G5="Yes")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400-000000000000}">
          <x14:formula1>
            <xm:f>'Validation Lists'!$E$5:$E$11</xm:f>
          </x14:formula1>
          <xm:sqref>C5:C100</xm:sqref>
        </x14:dataValidation>
        <x14:dataValidation type="list" xr:uid="{00000000-0002-0000-0400-000001000000}">
          <x14:formula1>
            <xm:f>'Validation Lists'!$A$5:$A$12</xm:f>
          </x14:formula1>
          <xm:sqref>D5:D100</xm:sqref>
        </x14:dataValidation>
        <x14:dataValidation type="list" xr:uid="{00000000-0002-0000-0400-000002000000}">
          <x14:formula1>
            <xm:f>'Validation Lists'!$B$5:$B$8</xm:f>
          </x14:formula1>
          <xm:sqref>E5:E100</xm:sqref>
        </x14:dataValidation>
        <x14:dataValidation type="list" xr:uid="{00000000-0002-0000-0400-000003000000}">
          <x14:formula1>
            <xm:f>'Validation Lists'!$C$5:$C$10</xm:f>
          </x14:formula1>
          <xm:sqref>G5:G100</xm:sqref>
        </x14:dataValidation>
        <x14:dataValidation type="list" xr:uid="{00000000-0002-0000-0400-000004000000}">
          <x14:formula1>
            <xm:f>'Validation Lists'!$F$5:$F$6</xm:f>
          </x14:formula1>
          <xm:sqref>J5:J100</xm:sqref>
        </x14:dataValidation>
        <x14:dataValidation type="list" xr:uid="{00000000-0002-0000-0400-000005000000}">
          <x14:formula1>
            <xm:f>'Validation Lists'!$G$5:$G$7</xm:f>
          </x14:formula1>
          <xm:sqref>K5:K100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0"/>
  <sheetViews>
    <sheetView workbookViewId="0"/>
  </sheetViews>
  <sheetFormatPr defaultRowHeight="13.8"/>
  <cols>
    <col min="1" max="1" width="49.3984375" customWidth="1"/>
    <col min="2" max="2" width="6.69921875" customWidth="1"/>
    <col min="3" max="3" width="8.59765625" customWidth="1"/>
    <col min="4" max="4" width="14.69921875" customWidth="1"/>
    <col min="5" max="5" width="16.796875" customWidth="1"/>
    <col min="6" max="6" width="22.8984375" customWidth="1"/>
    <col min="7" max="7" width="41.19921875" customWidth="1"/>
    <col min="8" max="8" width="48.19921875" customWidth="1"/>
  </cols>
  <sheetData>
    <row r="1" spans="1:14" ht="22.35" customHeight="1">
      <c r="A1" s="6" t="s">
        <v>218</v>
      </c>
      <c r="B1" s="6"/>
      <c r="C1" s="6"/>
      <c r="D1" s="6"/>
      <c r="E1" s="6"/>
      <c r="F1" s="6"/>
      <c r="G1" s="6"/>
      <c r="H1" s="6"/>
      <c r="I1" s="3"/>
      <c r="J1" s="3"/>
      <c r="K1" s="3"/>
      <c r="L1" s="3"/>
      <c r="M1" s="3"/>
      <c r="N1" s="3"/>
    </row>
    <row r="2" spans="1:14">
      <c r="A2" s="7" t="s">
        <v>219</v>
      </c>
      <c r="B2" s="7"/>
      <c r="C2" s="7"/>
      <c r="D2" s="7"/>
      <c r="E2" s="7"/>
      <c r="F2" s="7"/>
      <c r="G2" s="7"/>
      <c r="H2" s="7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71</v>
      </c>
      <c r="B4" s="4" t="s">
        <v>72</v>
      </c>
      <c r="C4" s="4" t="s">
        <v>73</v>
      </c>
      <c r="D4" s="4" t="s">
        <v>74</v>
      </c>
      <c r="E4" s="4" t="s">
        <v>220</v>
      </c>
      <c r="F4" s="4" t="s">
        <v>8</v>
      </c>
      <c r="G4" s="4" t="s">
        <v>221</v>
      </c>
      <c r="H4" s="4" t="s">
        <v>222</v>
      </c>
      <c r="I4" s="3"/>
      <c r="J4" s="3"/>
      <c r="K4" s="3"/>
      <c r="L4" s="3"/>
      <c r="M4" s="3"/>
      <c r="N4" s="3"/>
    </row>
    <row r="5" spans="1:14" ht="27.6">
      <c r="A5" s="2">
        <v>46188</v>
      </c>
      <c r="B5" s="1" t="s">
        <v>223</v>
      </c>
      <c r="C5" s="1" t="s">
        <v>178</v>
      </c>
      <c r="D5" s="1" t="s">
        <v>86</v>
      </c>
      <c r="E5" s="1" t="s">
        <v>224</v>
      </c>
      <c r="F5" s="1" t="s">
        <v>225</v>
      </c>
      <c r="G5" s="1" t="s">
        <v>38</v>
      </c>
      <c r="H5" s="1" t="s">
        <v>226</v>
      </c>
      <c r="I5" s="3"/>
      <c r="J5" s="3"/>
      <c r="K5" s="3"/>
      <c r="L5" s="3"/>
      <c r="M5" s="3"/>
      <c r="N5" s="3"/>
    </row>
    <row r="6" spans="1:14" ht="27.6">
      <c r="A6" s="2">
        <v>46188</v>
      </c>
      <c r="B6" s="1" t="s">
        <v>227</v>
      </c>
      <c r="C6" s="1" t="s">
        <v>178</v>
      </c>
      <c r="D6" s="1" t="s">
        <v>86</v>
      </c>
      <c r="E6" s="1" t="s">
        <v>228</v>
      </c>
      <c r="F6" s="1" t="s">
        <v>225</v>
      </c>
      <c r="G6" s="1" t="s">
        <v>43</v>
      </c>
      <c r="H6" s="1" t="s">
        <v>229</v>
      </c>
      <c r="I6" s="3"/>
      <c r="J6" s="3"/>
      <c r="K6" s="3"/>
      <c r="L6" s="3"/>
      <c r="M6" s="3"/>
      <c r="N6" s="3"/>
    </row>
    <row r="7" spans="1:14" ht="27.6">
      <c r="A7" s="2">
        <v>46188</v>
      </c>
      <c r="B7" s="1" t="s">
        <v>230</v>
      </c>
      <c r="C7" s="1" t="s">
        <v>183</v>
      </c>
      <c r="D7" s="1" t="s">
        <v>95</v>
      </c>
      <c r="E7" s="1" t="s">
        <v>231</v>
      </c>
      <c r="F7" s="1" t="s">
        <v>225</v>
      </c>
      <c r="G7" s="1" t="s">
        <v>53</v>
      </c>
      <c r="H7" s="1" t="s">
        <v>232</v>
      </c>
      <c r="I7" s="3"/>
      <c r="J7" s="3"/>
      <c r="K7" s="3"/>
      <c r="L7" s="3"/>
      <c r="M7" s="3"/>
      <c r="N7" s="3"/>
    </row>
    <row r="8" spans="1:14" ht="27.6">
      <c r="A8" s="2">
        <v>46188</v>
      </c>
      <c r="B8" s="1" t="s">
        <v>233</v>
      </c>
      <c r="C8" s="1" t="s">
        <v>190</v>
      </c>
      <c r="D8" s="1" t="s">
        <v>112</v>
      </c>
      <c r="E8" s="1" t="s">
        <v>234</v>
      </c>
      <c r="F8" s="1" t="s">
        <v>225</v>
      </c>
      <c r="G8" s="1" t="s">
        <v>44</v>
      </c>
      <c r="H8" s="1" t="s">
        <v>235</v>
      </c>
      <c r="I8" s="3"/>
      <c r="J8" s="3"/>
      <c r="K8" s="3"/>
      <c r="L8" s="3"/>
      <c r="M8" s="3"/>
      <c r="N8" s="3"/>
    </row>
    <row r="9" spans="1:14" ht="27.6">
      <c r="A9" s="2">
        <v>46188</v>
      </c>
      <c r="B9" s="1" t="s">
        <v>123</v>
      </c>
      <c r="C9" s="1" t="s">
        <v>193</v>
      </c>
      <c r="D9" s="1" t="s">
        <v>119</v>
      </c>
      <c r="E9" s="1" t="s">
        <v>236</v>
      </c>
      <c r="F9" s="1" t="s">
        <v>225</v>
      </c>
      <c r="G9" s="1" t="s">
        <v>122</v>
      </c>
      <c r="H9" s="1" t="s">
        <v>237</v>
      </c>
      <c r="I9" s="3"/>
      <c r="J9" s="3"/>
      <c r="K9" s="3"/>
      <c r="L9" s="3"/>
      <c r="M9" s="3"/>
      <c r="N9" s="3"/>
    </row>
    <row r="10" spans="1:14" ht="27.6">
      <c r="A10" s="2">
        <v>46188</v>
      </c>
      <c r="B10" s="1" t="s">
        <v>238</v>
      </c>
      <c r="C10" s="1" t="s">
        <v>196</v>
      </c>
      <c r="D10" s="1" t="s">
        <v>231</v>
      </c>
      <c r="E10" s="1" t="s">
        <v>225</v>
      </c>
      <c r="F10" s="1" t="s">
        <v>54</v>
      </c>
      <c r="G10" s="1" t="s">
        <v>239</v>
      </c>
      <c r="H10" s="1"/>
      <c r="I10" s="3"/>
      <c r="J10" s="3"/>
      <c r="K10" s="3"/>
      <c r="L10" s="3"/>
      <c r="M10" s="3"/>
      <c r="N10" s="3"/>
    </row>
    <row r="11" spans="1:14" ht="27.6">
      <c r="A11" s="2">
        <v>46188</v>
      </c>
      <c r="B11" s="1" t="s">
        <v>240</v>
      </c>
      <c r="C11" s="1" t="s">
        <v>199</v>
      </c>
      <c r="D11" s="1" t="s">
        <v>241</v>
      </c>
      <c r="E11" s="1" t="s">
        <v>201</v>
      </c>
      <c r="F11" s="1" t="s">
        <v>49</v>
      </c>
      <c r="G11" s="1" t="s">
        <v>242</v>
      </c>
      <c r="H11" s="1"/>
      <c r="I11" s="3"/>
      <c r="J11" s="3"/>
      <c r="K11" s="3"/>
      <c r="L11" s="3"/>
      <c r="M11" s="3"/>
      <c r="N11" s="3"/>
    </row>
    <row r="12" spans="1:14" ht="27.6">
      <c r="A12" s="2">
        <v>46189</v>
      </c>
      <c r="B12" s="1" t="s">
        <v>243</v>
      </c>
      <c r="C12" s="1" t="s">
        <v>206</v>
      </c>
      <c r="D12" s="1" t="s">
        <v>244</v>
      </c>
      <c r="E12" s="1" t="s">
        <v>225</v>
      </c>
      <c r="F12" s="1" t="s">
        <v>48</v>
      </c>
      <c r="G12" s="1" t="s">
        <v>245</v>
      </c>
      <c r="H12" s="1"/>
      <c r="I12" s="3"/>
      <c r="J12" s="3"/>
      <c r="K12" s="3"/>
      <c r="L12" s="3"/>
      <c r="M12" s="3"/>
      <c r="N12" s="3"/>
    </row>
    <row r="13" spans="1:14" ht="27.6">
      <c r="A13" s="2">
        <v>46189</v>
      </c>
      <c r="B13" s="1" t="s">
        <v>246</v>
      </c>
      <c r="C13" s="1" t="s">
        <v>210</v>
      </c>
      <c r="D13" s="1" t="s">
        <v>224</v>
      </c>
      <c r="E13" s="1" t="s">
        <v>225</v>
      </c>
      <c r="F13" s="1" t="s">
        <v>58</v>
      </c>
      <c r="G13" s="1" t="s">
        <v>247</v>
      </c>
      <c r="H13" s="1"/>
      <c r="I13" s="3"/>
      <c r="J13" s="3"/>
      <c r="K13" s="3"/>
      <c r="L13" s="3"/>
      <c r="M13" s="3"/>
      <c r="N13" s="3"/>
    </row>
    <row r="14" spans="1:14" ht="27.6">
      <c r="A14" s="2">
        <v>46189</v>
      </c>
      <c r="B14" s="1" t="s">
        <v>117</v>
      </c>
      <c r="C14" s="1" t="s">
        <v>214</v>
      </c>
      <c r="D14" s="1" t="s">
        <v>248</v>
      </c>
      <c r="E14" s="1" t="s">
        <v>225</v>
      </c>
      <c r="F14" s="1" t="s">
        <v>122</v>
      </c>
      <c r="G14" s="1" t="s">
        <v>249</v>
      </c>
      <c r="H14" s="1"/>
      <c r="I14" s="3"/>
      <c r="J14" s="3"/>
      <c r="K14" s="3"/>
      <c r="L14" s="3"/>
      <c r="M14" s="3"/>
      <c r="N14" s="3"/>
    </row>
    <row r="15" spans="1:14" ht="27.6">
      <c r="A15" s="2">
        <v>46189</v>
      </c>
      <c r="B15" s="1" t="s">
        <v>250</v>
      </c>
      <c r="C15" s="1" t="s">
        <v>251</v>
      </c>
      <c r="D15" s="1" t="s">
        <v>252</v>
      </c>
      <c r="E15" s="1" t="s">
        <v>253</v>
      </c>
      <c r="F15" s="1" t="s">
        <v>38</v>
      </c>
      <c r="G15" s="1" t="s">
        <v>254</v>
      </c>
      <c r="H15" s="1"/>
      <c r="I15" s="3"/>
      <c r="J15" s="3"/>
      <c r="K15" s="3"/>
      <c r="L15" s="3"/>
      <c r="M15" s="3"/>
      <c r="N15" s="3"/>
    </row>
    <row r="16" spans="1:14" ht="27.6">
      <c r="A16" s="2">
        <v>46189</v>
      </c>
      <c r="B16" s="1" t="s">
        <v>146</v>
      </c>
      <c r="C16" s="1" t="s">
        <v>255</v>
      </c>
      <c r="D16" s="1" t="s">
        <v>256</v>
      </c>
      <c r="E16" s="1" t="s">
        <v>225</v>
      </c>
      <c r="F16" s="1" t="s">
        <v>65</v>
      </c>
      <c r="G16" s="1" t="s">
        <v>257</v>
      </c>
      <c r="H16" s="1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H1"/>
    <mergeCell ref="A2:H2"/>
  </mergeCells>
  <dataValidations count="1">
    <dataValidation type="list" sqref="F5:F100" xr:uid="{00000000-0002-0000-0500-000000000000}">
      <formula1>"Sent,Pending,Not Sent"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0"/>
  <sheetViews>
    <sheetView workbookViewId="0"/>
  </sheetViews>
  <sheetFormatPr defaultRowHeight="13.8"/>
  <cols>
    <col min="1" max="1" width="50.8984375" customWidth="1"/>
    <col min="2" max="2" width="8.09765625" customWidth="1"/>
    <col min="3" max="3" width="16.3984375" customWidth="1"/>
    <col min="4" max="4" width="12.09765625" customWidth="1"/>
    <col min="5" max="5" width="21.296875" customWidth="1"/>
    <col min="6" max="6" width="20.69921875" customWidth="1"/>
    <col min="7" max="7" width="20" customWidth="1"/>
    <col min="8" max="8" width="24" customWidth="1"/>
  </cols>
  <sheetData>
    <row r="1" spans="1:14" ht="22.35" customHeight="1">
      <c r="A1" s="6" t="s">
        <v>258</v>
      </c>
      <c r="B1" s="6"/>
      <c r="C1" s="6"/>
      <c r="D1" s="6"/>
      <c r="E1" s="6"/>
      <c r="F1" s="6"/>
      <c r="G1" s="6"/>
      <c r="H1" s="6"/>
      <c r="I1" s="3"/>
      <c r="J1" s="3"/>
      <c r="K1" s="3"/>
      <c r="L1" s="3"/>
      <c r="M1" s="3"/>
      <c r="N1" s="3"/>
    </row>
    <row r="2" spans="1:14">
      <c r="A2" s="7" t="s">
        <v>259</v>
      </c>
      <c r="B2" s="7"/>
      <c r="C2" s="7"/>
      <c r="D2" s="7"/>
      <c r="E2" s="7"/>
      <c r="F2" s="7"/>
      <c r="G2" s="7"/>
      <c r="H2" s="7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71</v>
      </c>
      <c r="B4" s="4" t="s">
        <v>260</v>
      </c>
      <c r="C4" s="4" t="s">
        <v>10</v>
      </c>
      <c r="D4" s="4" t="s">
        <v>261</v>
      </c>
      <c r="E4" s="4" t="s">
        <v>262</v>
      </c>
      <c r="F4" s="4" t="s">
        <v>80</v>
      </c>
      <c r="G4" s="4" t="s">
        <v>263</v>
      </c>
      <c r="H4" s="4" t="s">
        <v>264</v>
      </c>
      <c r="I4" s="3"/>
      <c r="J4" s="3"/>
      <c r="K4" s="3"/>
      <c r="L4" s="3"/>
      <c r="M4" s="3"/>
      <c r="N4" s="3"/>
    </row>
    <row r="5" spans="1:14">
      <c r="A5" s="2">
        <v>46188</v>
      </c>
      <c r="B5" s="1" t="s">
        <v>265</v>
      </c>
      <c r="C5" s="1" t="s">
        <v>13</v>
      </c>
      <c r="D5" s="1">
        <v>2</v>
      </c>
      <c r="E5" s="1" t="s">
        <v>266</v>
      </c>
      <c r="F5" s="1" t="s">
        <v>38</v>
      </c>
      <c r="G5" s="1" t="s">
        <v>180</v>
      </c>
      <c r="H5" s="1" t="s">
        <v>267</v>
      </c>
      <c r="I5" s="3"/>
      <c r="J5" s="3"/>
      <c r="K5" s="3"/>
      <c r="L5" s="3"/>
      <c r="M5" s="3"/>
      <c r="N5" s="3"/>
    </row>
    <row r="6" spans="1:14" ht="27.6">
      <c r="A6" s="2">
        <v>46188</v>
      </c>
      <c r="B6" s="1" t="s">
        <v>265</v>
      </c>
      <c r="C6" s="1" t="s">
        <v>22</v>
      </c>
      <c r="D6" s="1">
        <v>1</v>
      </c>
      <c r="E6" s="1" t="s">
        <v>268</v>
      </c>
      <c r="F6" s="1" t="s">
        <v>53</v>
      </c>
      <c r="G6" s="1" t="s">
        <v>180</v>
      </c>
      <c r="H6" s="1" t="s">
        <v>269</v>
      </c>
      <c r="I6" s="3"/>
      <c r="J6" s="3"/>
      <c r="K6" s="3"/>
      <c r="L6" s="3"/>
      <c r="M6" s="3"/>
      <c r="N6" s="3"/>
    </row>
    <row r="7" spans="1:14" ht="27.6">
      <c r="A7" s="2">
        <v>46188</v>
      </c>
      <c r="B7" s="1" t="s">
        <v>270</v>
      </c>
      <c r="C7" s="1" t="s">
        <v>19</v>
      </c>
      <c r="D7" s="1">
        <v>1</v>
      </c>
      <c r="E7" s="1" t="s">
        <v>137</v>
      </c>
      <c r="F7" s="1" t="s">
        <v>49</v>
      </c>
      <c r="G7" s="1" t="s">
        <v>185</v>
      </c>
      <c r="H7" s="1" t="s">
        <v>271</v>
      </c>
      <c r="I7" s="3"/>
      <c r="J7" s="3"/>
      <c r="K7" s="3"/>
      <c r="L7" s="3"/>
      <c r="M7" s="3"/>
      <c r="N7" s="3"/>
    </row>
    <row r="8" spans="1:14" ht="27.6">
      <c r="A8" s="2">
        <v>46188</v>
      </c>
      <c r="B8" s="1" t="s">
        <v>270</v>
      </c>
      <c r="C8" s="1" t="s">
        <v>27</v>
      </c>
      <c r="D8" s="1">
        <v>1</v>
      </c>
      <c r="E8" s="1" t="s">
        <v>272</v>
      </c>
      <c r="F8" s="1" t="s">
        <v>44</v>
      </c>
      <c r="G8" s="1" t="s">
        <v>180</v>
      </c>
      <c r="H8" s="1" t="s">
        <v>273</v>
      </c>
      <c r="I8" s="3"/>
      <c r="J8" s="3"/>
      <c r="K8" s="3"/>
      <c r="L8" s="3"/>
      <c r="M8" s="3"/>
      <c r="N8" s="3"/>
    </row>
    <row r="9" spans="1:14">
      <c r="A9" s="2">
        <v>46189</v>
      </c>
      <c r="B9" s="1" t="s">
        <v>265</v>
      </c>
      <c r="C9" s="1" t="s">
        <v>25</v>
      </c>
      <c r="D9" s="1">
        <v>1</v>
      </c>
      <c r="E9" s="1" t="s">
        <v>274</v>
      </c>
      <c r="F9" s="1" t="s">
        <v>58</v>
      </c>
      <c r="G9" s="1" t="s">
        <v>185</v>
      </c>
      <c r="H9" s="1" t="s">
        <v>275</v>
      </c>
      <c r="I9" s="3"/>
      <c r="J9" s="3"/>
      <c r="K9" s="3"/>
      <c r="L9" s="3"/>
      <c r="M9" s="3"/>
      <c r="N9" s="3"/>
    </row>
    <row r="10" spans="1:14" ht="27.6">
      <c r="A10" s="2">
        <v>46189</v>
      </c>
      <c r="B10" s="1" t="s">
        <v>270</v>
      </c>
      <c r="C10" s="1" t="s">
        <v>29</v>
      </c>
      <c r="D10" s="1">
        <v>1</v>
      </c>
      <c r="E10" s="1" t="s">
        <v>276</v>
      </c>
      <c r="F10" s="1" t="s">
        <v>65</v>
      </c>
      <c r="G10" s="1" t="s">
        <v>180</v>
      </c>
      <c r="H10" s="1" t="s">
        <v>277</v>
      </c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H1"/>
    <mergeCell ref="A2:H2"/>
  </mergeCells>
  <conditionalFormatting sqref="G5:G100">
    <cfRule type="expression" dxfId="1" priority="1">
      <formula>OR(G5="High",G5="Critical",G5="Overdue",G5="No")</formula>
    </cfRule>
    <cfRule type="expression" dxfId="0" priority="2">
      <formula>OR(G5="Resolved",G5="Closed",G5="Yes")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'Validation Lists'!$F$5:$F$6</xm:f>
          </x14:formula1>
          <xm:sqref>G5:G100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0"/>
  <sheetViews>
    <sheetView workbookViewId="0"/>
  </sheetViews>
  <sheetFormatPr defaultRowHeight="13.8"/>
  <cols>
    <col min="1" max="1" width="54.09765625" customWidth="1"/>
    <col min="2" max="2" width="44.5" customWidth="1"/>
    <col min="3" max="3" width="14.09765625" customWidth="1"/>
    <col min="4" max="4" width="27.296875" customWidth="1"/>
    <col min="5" max="5" width="55" customWidth="1"/>
  </cols>
  <sheetData>
    <row r="1" spans="1:14" ht="22.35" customHeight="1">
      <c r="A1" s="6" t="s">
        <v>278</v>
      </c>
      <c r="B1" s="6"/>
      <c r="C1" s="6"/>
      <c r="D1" s="6"/>
      <c r="E1" s="6"/>
      <c r="F1" s="3"/>
      <c r="G1" s="3"/>
      <c r="H1" s="3"/>
      <c r="I1" s="3"/>
      <c r="J1" s="3"/>
      <c r="K1" s="3"/>
      <c r="L1" s="3"/>
      <c r="M1" s="3"/>
      <c r="N1" s="3"/>
    </row>
    <row r="2" spans="1:14">
      <c r="A2" s="7" t="s">
        <v>279</v>
      </c>
      <c r="B2" s="7"/>
      <c r="C2" s="7"/>
      <c r="D2" s="7"/>
      <c r="E2" s="7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280</v>
      </c>
      <c r="B4" s="4" t="s">
        <v>281</v>
      </c>
      <c r="C4" s="4" t="s">
        <v>79</v>
      </c>
      <c r="D4" s="4" t="s">
        <v>282</v>
      </c>
      <c r="E4" s="4" t="s">
        <v>283</v>
      </c>
      <c r="F4" s="3"/>
      <c r="G4" s="3"/>
      <c r="H4" s="3"/>
      <c r="I4" s="3"/>
      <c r="J4" s="3"/>
      <c r="K4" s="3"/>
      <c r="L4" s="3"/>
      <c r="M4" s="3"/>
      <c r="N4" s="3"/>
    </row>
    <row r="5" spans="1:14" ht="41.4">
      <c r="A5" s="1" t="s">
        <v>284</v>
      </c>
      <c r="B5" s="1" t="s">
        <v>285</v>
      </c>
      <c r="C5" s="1" t="s">
        <v>98</v>
      </c>
      <c r="D5" s="1" t="s">
        <v>286</v>
      </c>
      <c r="E5" s="1" t="s">
        <v>287</v>
      </c>
      <c r="F5" s="3"/>
      <c r="G5" s="3"/>
      <c r="H5" s="3"/>
      <c r="I5" s="3"/>
      <c r="J5" s="3"/>
      <c r="K5" s="3"/>
      <c r="L5" s="3"/>
      <c r="M5" s="3"/>
      <c r="N5" s="3"/>
    </row>
    <row r="6" spans="1:14" ht="41.4">
      <c r="A6" s="1" t="s">
        <v>288</v>
      </c>
      <c r="B6" s="1" t="s">
        <v>289</v>
      </c>
      <c r="C6" s="1" t="s">
        <v>89</v>
      </c>
      <c r="D6" s="1" t="s">
        <v>290</v>
      </c>
      <c r="E6" s="1" t="s">
        <v>291</v>
      </c>
      <c r="F6" s="3"/>
      <c r="G6" s="3"/>
      <c r="H6" s="3"/>
      <c r="I6" s="3"/>
      <c r="J6" s="3"/>
      <c r="K6" s="3"/>
      <c r="L6" s="3"/>
      <c r="M6" s="3"/>
      <c r="N6" s="3"/>
    </row>
    <row r="7" spans="1:14" ht="41.4">
      <c r="A7" s="1" t="s">
        <v>292</v>
      </c>
      <c r="B7" s="1" t="s">
        <v>293</v>
      </c>
      <c r="C7" s="1" t="s">
        <v>294</v>
      </c>
      <c r="D7" s="1" t="s">
        <v>295</v>
      </c>
      <c r="E7" s="1" t="s">
        <v>296</v>
      </c>
      <c r="F7" s="3"/>
      <c r="G7" s="3"/>
      <c r="H7" s="3"/>
      <c r="I7" s="3"/>
      <c r="J7" s="3"/>
      <c r="K7" s="3"/>
      <c r="L7" s="3"/>
      <c r="M7" s="3"/>
      <c r="N7" s="3"/>
    </row>
    <row r="8" spans="1:14" ht="27.6">
      <c r="A8" s="1" t="s">
        <v>297</v>
      </c>
      <c r="B8" s="1" t="s">
        <v>298</v>
      </c>
      <c r="C8" s="1" t="s">
        <v>106</v>
      </c>
      <c r="D8" s="1" t="s">
        <v>299</v>
      </c>
      <c r="E8" s="1" t="s">
        <v>300</v>
      </c>
      <c r="F8" s="3"/>
      <c r="G8" s="3"/>
      <c r="H8" s="3"/>
      <c r="I8" s="3"/>
      <c r="J8" s="3"/>
      <c r="K8" s="3"/>
      <c r="L8" s="3"/>
      <c r="M8" s="3"/>
      <c r="N8" s="3"/>
    </row>
    <row r="9" spans="1:14" ht="27.6">
      <c r="A9" s="1" t="s">
        <v>301</v>
      </c>
      <c r="B9" s="1" t="s">
        <v>302</v>
      </c>
      <c r="C9" s="1" t="s">
        <v>106</v>
      </c>
      <c r="D9" s="1" t="s">
        <v>303</v>
      </c>
      <c r="E9" s="1" t="s">
        <v>304</v>
      </c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20"/>
  <sheetViews>
    <sheetView workbookViewId="0"/>
  </sheetViews>
  <sheetFormatPr defaultRowHeight="13.8"/>
  <cols>
    <col min="1" max="1" width="57.5" customWidth="1"/>
    <col min="2" max="4" width="32" customWidth="1"/>
  </cols>
  <sheetData>
    <row r="1" spans="1:14" ht="22.35" customHeight="1">
      <c r="A1" s="6" t="s">
        <v>305</v>
      </c>
      <c r="B1" s="6"/>
      <c r="C1" s="6"/>
      <c r="D1" s="6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7" t="s">
        <v>306</v>
      </c>
      <c r="B2" s="7"/>
      <c r="C2" s="7"/>
      <c r="D2" s="7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4" t="s">
        <v>307</v>
      </c>
      <c r="B4" s="4" t="s">
        <v>308</v>
      </c>
      <c r="C4" s="4" t="s">
        <v>309</v>
      </c>
      <c r="D4" s="4" t="s">
        <v>310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7.6">
      <c r="A5" s="1">
        <v>1</v>
      </c>
      <c r="B5" s="1" t="s">
        <v>311</v>
      </c>
      <c r="C5" s="1" t="s">
        <v>312</v>
      </c>
      <c r="D5" s="1" t="s">
        <v>313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7.6">
      <c r="A6" s="1">
        <v>2</v>
      </c>
      <c r="B6" s="1" t="s">
        <v>314</v>
      </c>
      <c r="C6" s="1" t="s">
        <v>315</v>
      </c>
      <c r="D6" s="1" t="s">
        <v>316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7.6">
      <c r="A7" s="1">
        <v>3</v>
      </c>
      <c r="B7" s="1" t="s">
        <v>317</v>
      </c>
      <c r="C7" s="1" t="s">
        <v>75</v>
      </c>
      <c r="D7" s="1" t="s">
        <v>318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1">
        <v>4</v>
      </c>
      <c r="B8" s="1" t="s">
        <v>319</v>
      </c>
      <c r="C8" s="1" t="s">
        <v>320</v>
      </c>
      <c r="D8" s="1" t="s">
        <v>321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1">
        <v>5</v>
      </c>
      <c r="B9" s="1" t="s">
        <v>322</v>
      </c>
      <c r="C9" s="1" t="s">
        <v>320</v>
      </c>
      <c r="D9" s="1" t="s">
        <v>323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1">
        <v>6</v>
      </c>
      <c r="B10" s="1" t="s">
        <v>324</v>
      </c>
      <c r="C10" s="1" t="s">
        <v>325</v>
      </c>
      <c r="D10" s="1" t="s">
        <v>326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7.6">
      <c r="A11" s="1">
        <v>7</v>
      </c>
      <c r="B11" s="1" t="s">
        <v>327</v>
      </c>
      <c r="C11" s="1" t="s">
        <v>328</v>
      </c>
      <c r="D11" s="1" t="s">
        <v>329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27.6">
      <c r="A12" s="1">
        <v>8</v>
      </c>
      <c r="B12" s="1" t="s">
        <v>330</v>
      </c>
      <c r="C12" s="1" t="s">
        <v>171</v>
      </c>
      <c r="D12" s="1" t="s">
        <v>331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1">
        <v>9</v>
      </c>
      <c r="B13" s="1" t="s">
        <v>332</v>
      </c>
      <c r="C13" s="1" t="s">
        <v>65</v>
      </c>
      <c r="D13" s="1" t="s">
        <v>333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1">
        <v>10</v>
      </c>
      <c r="B14" s="1" t="s">
        <v>334</v>
      </c>
      <c r="C14" s="1" t="s">
        <v>80</v>
      </c>
      <c r="D14" s="1" t="s">
        <v>335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0"/>
  <sheetViews>
    <sheetView workbookViewId="0"/>
  </sheetViews>
  <sheetFormatPr defaultRowHeight="13.8"/>
  <cols>
    <col min="1" max="1" width="35.5" customWidth="1"/>
    <col min="2" max="2" width="6.69921875" customWidth="1"/>
    <col min="3" max="3" width="8.69921875" customWidth="1"/>
    <col min="4" max="4" width="14.296875" customWidth="1"/>
    <col min="5" max="5" width="18.69921875" customWidth="1"/>
    <col min="6" max="6" width="5.3984375" customWidth="1"/>
    <col min="7" max="7" width="11.3984375" customWidth="1"/>
  </cols>
  <sheetData>
    <row r="1" spans="1:14" ht="22.35" customHeight="1">
      <c r="A1" s="6" t="s">
        <v>336</v>
      </c>
      <c r="B1" s="6"/>
      <c r="C1" s="6"/>
      <c r="D1" s="6"/>
      <c r="E1" s="6"/>
      <c r="F1" s="6"/>
      <c r="G1" s="6"/>
      <c r="H1" s="3"/>
      <c r="I1" s="3"/>
      <c r="J1" s="3"/>
      <c r="K1" s="3"/>
      <c r="L1" s="3"/>
      <c r="M1" s="3"/>
      <c r="N1" s="3"/>
    </row>
    <row r="2" spans="1:14">
      <c r="A2" s="7" t="s">
        <v>337</v>
      </c>
      <c r="B2" s="7"/>
      <c r="C2" s="7"/>
      <c r="D2" s="7"/>
      <c r="E2" s="7"/>
      <c r="F2" s="7"/>
      <c r="G2" s="7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7.6">
      <c r="A4" s="4" t="s">
        <v>338</v>
      </c>
      <c r="B4" s="4" t="s">
        <v>78</v>
      </c>
      <c r="C4" s="4" t="s">
        <v>8</v>
      </c>
      <c r="D4" s="4" t="s">
        <v>339</v>
      </c>
      <c r="E4" s="4" t="s">
        <v>340</v>
      </c>
      <c r="F4" s="4" t="s">
        <v>341</v>
      </c>
      <c r="G4" s="4" t="s">
        <v>342</v>
      </c>
      <c r="H4" s="3"/>
      <c r="I4" s="3"/>
      <c r="J4" s="3"/>
      <c r="K4" s="3"/>
      <c r="L4" s="3"/>
      <c r="M4" s="3"/>
      <c r="N4" s="3"/>
    </row>
    <row r="5" spans="1:14">
      <c r="A5" s="1" t="s">
        <v>13</v>
      </c>
      <c r="B5" s="1" t="s">
        <v>145</v>
      </c>
      <c r="C5" s="1" t="s">
        <v>12</v>
      </c>
      <c r="D5" s="1" t="s">
        <v>89</v>
      </c>
      <c r="E5" s="1" t="s">
        <v>14</v>
      </c>
      <c r="F5" s="1" t="s">
        <v>180</v>
      </c>
      <c r="G5" s="1" t="s">
        <v>201</v>
      </c>
      <c r="H5" s="3"/>
      <c r="I5" s="3"/>
      <c r="J5" s="3"/>
      <c r="K5" s="3"/>
      <c r="L5" s="3"/>
      <c r="M5" s="3"/>
      <c r="N5" s="3"/>
    </row>
    <row r="6" spans="1:14" ht="27.6">
      <c r="A6" s="1" t="s">
        <v>16</v>
      </c>
      <c r="B6" s="1" t="s">
        <v>97</v>
      </c>
      <c r="C6" s="1" t="s">
        <v>15</v>
      </c>
      <c r="D6" s="1" t="s">
        <v>98</v>
      </c>
      <c r="E6" s="1" t="s">
        <v>17</v>
      </c>
      <c r="F6" s="1" t="s">
        <v>185</v>
      </c>
      <c r="G6" s="1" t="s">
        <v>181</v>
      </c>
      <c r="H6" s="3"/>
      <c r="I6" s="3"/>
      <c r="J6" s="3"/>
      <c r="K6" s="3"/>
      <c r="L6" s="3"/>
      <c r="M6" s="3"/>
      <c r="N6" s="3"/>
    </row>
    <row r="7" spans="1:14" ht="27.6">
      <c r="A7" s="1" t="s">
        <v>19</v>
      </c>
      <c r="B7" s="1" t="s">
        <v>88</v>
      </c>
      <c r="C7" s="1" t="s">
        <v>18</v>
      </c>
      <c r="D7" s="1" t="s">
        <v>106</v>
      </c>
      <c r="E7" s="1" t="s">
        <v>20</v>
      </c>
      <c r="F7" s="1"/>
      <c r="G7" s="1" t="s">
        <v>343</v>
      </c>
      <c r="H7" s="3"/>
      <c r="I7" s="3"/>
      <c r="J7" s="3"/>
      <c r="K7" s="3"/>
      <c r="L7" s="3"/>
      <c r="M7" s="3"/>
      <c r="N7" s="3"/>
    </row>
    <row r="8" spans="1:14" ht="27.6">
      <c r="A8" s="1" t="s">
        <v>22</v>
      </c>
      <c r="B8" s="1" t="s">
        <v>344</v>
      </c>
      <c r="C8" s="1" t="s">
        <v>21</v>
      </c>
      <c r="D8" s="1" t="s">
        <v>130</v>
      </c>
      <c r="E8" s="1" t="s">
        <v>23</v>
      </c>
      <c r="F8" s="1"/>
      <c r="G8" s="1"/>
      <c r="H8" s="3"/>
      <c r="I8" s="3"/>
      <c r="J8" s="3"/>
      <c r="K8" s="3"/>
      <c r="L8" s="3"/>
      <c r="M8" s="3"/>
      <c r="N8" s="3"/>
    </row>
    <row r="9" spans="1:14">
      <c r="A9" s="1" t="s">
        <v>25</v>
      </c>
      <c r="B9" s="1"/>
      <c r="C9" s="1" t="s">
        <v>24</v>
      </c>
      <c r="D9" s="1" t="s">
        <v>345</v>
      </c>
      <c r="E9" s="1" t="s">
        <v>26</v>
      </c>
      <c r="F9" s="1"/>
      <c r="G9" s="1"/>
      <c r="H9" s="3"/>
      <c r="I9" s="3"/>
      <c r="J9" s="3"/>
      <c r="K9" s="3"/>
      <c r="L9" s="3"/>
      <c r="M9" s="3"/>
      <c r="N9" s="3"/>
    </row>
    <row r="10" spans="1:14">
      <c r="A10" s="1" t="s">
        <v>27</v>
      </c>
      <c r="B10" s="1"/>
      <c r="C10" s="1" t="s">
        <v>346</v>
      </c>
      <c r="D10" s="1"/>
      <c r="E10" s="1" t="s">
        <v>28</v>
      </c>
      <c r="F10" s="1"/>
      <c r="G10" s="1"/>
      <c r="H10" s="3"/>
      <c r="I10" s="3"/>
      <c r="J10" s="3"/>
      <c r="K10" s="3"/>
      <c r="L10" s="3"/>
      <c r="M10" s="3"/>
      <c r="N10" s="3"/>
    </row>
    <row r="11" spans="1:14" ht="27.6">
      <c r="A11" s="1" t="s">
        <v>29</v>
      </c>
      <c r="B11" s="1"/>
      <c r="C11" s="1"/>
      <c r="D11" s="1"/>
      <c r="E11" s="1" t="s">
        <v>166</v>
      </c>
      <c r="F11" s="1"/>
      <c r="G11" s="1"/>
      <c r="H11" s="3"/>
      <c r="I11" s="3"/>
      <c r="J11" s="3"/>
      <c r="K11" s="3"/>
      <c r="L11" s="3"/>
      <c r="M11" s="3"/>
      <c r="N11" s="3"/>
    </row>
    <row r="12" spans="1:14">
      <c r="A12" s="1" t="s">
        <v>120</v>
      </c>
      <c r="B12" s="1"/>
      <c r="C12" s="1"/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Department Contacts</vt:lpstr>
      <vt:lpstr>Communication Tracker</vt:lpstr>
      <vt:lpstr>Escalation Matrix</vt:lpstr>
      <vt:lpstr>Issue Resolution Log</vt:lpstr>
      <vt:lpstr>Patient Update Log</vt:lpstr>
      <vt:lpstr>Daily Handover</vt:lpstr>
      <vt:lpstr>Communication Templates</vt:lpstr>
      <vt:lpstr>Process Flow</vt:lpstr>
      <vt:lpstr>Validation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Haghbin</cp:lastModifiedBy>
  <dcterms:modified xsi:type="dcterms:W3CDTF">2026-06-12T09:08:08Z</dcterms:modified>
</cp:coreProperties>
</file>