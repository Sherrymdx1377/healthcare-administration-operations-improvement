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13_ncr:1_{AD0AE2CA-4561-47E8-BA16-6321C5B767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Feedback Tracker" sheetId="2" r:id="rId2"/>
    <sheet name="KPI Monitoring" sheetId="3" r:id="rId3"/>
    <sheet name="Implementation Timeline" sheetId="4" r:id="rId4"/>
    <sheet name="Budget Tracker" sheetId="5" r:id="rId5"/>
    <sheet name="Staff Training" sheetId="6" r:id="rId6"/>
    <sheet name="Complaint Resolution" sheetId="7" r:id="rId7"/>
    <sheet name="Patient Journey" sheetId="8" r:id="rId8"/>
    <sheet name="Action Plan" sheetId="9" r:id="rId9"/>
    <sheet name="Validation Lis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7" l="1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E9" i="5"/>
  <c r="D9" i="5"/>
  <c r="C9" i="5"/>
  <c r="E8" i="5"/>
  <c r="E7" i="5"/>
  <c r="E6" i="5"/>
  <c r="E5" i="5"/>
  <c r="E4" i="5"/>
  <c r="H9" i="3"/>
  <c r="H8" i="3"/>
  <c r="H7" i="3"/>
  <c r="H6" i="3"/>
  <c r="H5" i="3"/>
  <c r="H4" i="3"/>
  <c r="I13" i="2"/>
  <c r="I12" i="2"/>
  <c r="I11" i="2"/>
  <c r="I10" i="2"/>
  <c r="I9" i="2"/>
  <c r="I8" i="2"/>
  <c r="I7" i="2"/>
  <c r="I6" i="2"/>
  <c r="I5" i="2"/>
  <c r="I4" i="2"/>
  <c r="D10" i="1"/>
  <c r="D9" i="1"/>
  <c r="D8" i="1"/>
  <c r="G7" i="1"/>
  <c r="D7" i="1"/>
  <c r="D6" i="1"/>
  <c r="D5" i="1"/>
</calcChain>
</file>

<file path=xl/sharedStrings.xml><?xml version="1.0" encoding="utf-8"?>
<sst xmlns="http://schemas.openxmlformats.org/spreadsheetml/2006/main" count="478" uniqueCount="293">
  <si>
    <t>Patient Experience Strategy Dashboard</t>
  </si>
  <si>
    <t>Outpatient Clinic Administration | Patient Service, Wait Time, Feedback, Training, and Quality Monitoring</t>
  </si>
  <si>
    <t>Metric</t>
  </si>
  <si>
    <t>Current</t>
  </si>
  <si>
    <t>Target</t>
  </si>
  <si>
    <t>Gap</t>
  </si>
  <si>
    <t>Budget Summary</t>
  </si>
  <si>
    <t>Amount</t>
  </si>
  <si>
    <t>Notes</t>
  </si>
  <si>
    <t>Average Front Desk Wait Time</t>
  </si>
  <si>
    <t>Planned Budget</t>
  </si>
  <si>
    <t>Initial 3-month plan</t>
  </si>
  <si>
    <t>Patient Satisfaction Score</t>
  </si>
  <si>
    <t>Actual Spend</t>
  </si>
  <si>
    <t>Based on budget tracker</t>
  </si>
  <si>
    <t>Appointment Confirmation Accuracy</t>
  </si>
  <si>
    <t>Variance</t>
  </si>
  <si>
    <t>Positive means under plan</t>
  </si>
  <si>
    <t>Complaint Closure Within 48 Hours</t>
  </si>
  <si>
    <t>Main Cost Area</t>
  </si>
  <si>
    <t>Staff Training</t>
  </si>
  <si>
    <t>Largest planned item</t>
  </si>
  <si>
    <t>Record Readiness Before Visit</t>
  </si>
  <si>
    <t>Missed Appointment Rate</t>
  </si>
  <si>
    <t>Service Area</t>
  </si>
  <si>
    <t>Baseline Score</t>
  </si>
  <si>
    <t>Target Score</t>
  </si>
  <si>
    <t>Status</t>
  </si>
  <si>
    <t>Improvement Focus</t>
  </si>
  <si>
    <t>Owner</t>
  </si>
  <si>
    <t>Due</t>
  </si>
  <si>
    <t>Front Desk Communication</t>
  </si>
  <si>
    <t>Action Needed</t>
  </si>
  <si>
    <t>Introduce patient check-in checklist</t>
  </si>
  <si>
    <t>Front Desk Lead</t>
  </si>
  <si>
    <t>Appointment Updates</t>
  </si>
  <si>
    <t>Launch appointment reminder process</t>
  </si>
  <si>
    <t>Clinic Coordinator</t>
  </si>
  <si>
    <t>Record Preparedness</t>
  </si>
  <si>
    <t>Start weekly feedback review</t>
  </si>
  <si>
    <t>Patient Relations Officer</t>
  </si>
  <si>
    <t>Billing Clarity</t>
  </si>
  <si>
    <t>Complete staff service training</t>
  </si>
  <si>
    <t>Training Lead</t>
  </si>
  <si>
    <t>Overall Experience</t>
  </si>
  <si>
    <t>Publish monthly KPI report</t>
  </si>
  <si>
    <t>Quality Coordinator</t>
  </si>
  <si>
    <t>Patient Feedback Tracker</t>
  </si>
  <si>
    <t>Feedback ID</t>
  </si>
  <si>
    <t>Date</t>
  </si>
  <si>
    <t>Patient Type</t>
  </si>
  <si>
    <t>Touchpoint</t>
  </si>
  <si>
    <t>Front Desk Score</t>
  </si>
  <si>
    <t>Wait Time Score</t>
  </si>
  <si>
    <t>Communication Score</t>
  </si>
  <si>
    <t>Records Handling Score</t>
  </si>
  <si>
    <t>Overall Score</t>
  </si>
  <si>
    <t>Comment Theme</t>
  </si>
  <si>
    <t>Action Required</t>
  </si>
  <si>
    <t>Closure Date</t>
  </si>
  <si>
    <t>FB-001</t>
  </si>
  <si>
    <t>Returning Patient</t>
  </si>
  <si>
    <t>Front Desk</t>
  </si>
  <si>
    <t>Queue delay</t>
  </si>
  <si>
    <t>Review peak-hour coverage</t>
  </si>
  <si>
    <t>In Progress</t>
  </si>
  <si>
    <t>FB-002</t>
  </si>
  <si>
    <t>New Patient</t>
  </si>
  <si>
    <t>Appointment Scheduling</t>
  </si>
  <si>
    <t>Appointment update</t>
  </si>
  <si>
    <t>Confirm reminder timing</t>
  </si>
  <si>
    <t>FB-003</t>
  </si>
  <si>
    <t>Follow-up Patient</t>
  </si>
  <si>
    <t>Medical Records</t>
  </si>
  <si>
    <t>Document request</t>
  </si>
  <si>
    <t>Update document checklist</t>
  </si>
  <si>
    <t>Records Officer</t>
  </si>
  <si>
    <t>Completed</t>
  </si>
  <si>
    <t>FB-004</t>
  </si>
  <si>
    <t>Billing</t>
  </si>
  <si>
    <t>Billing clarity</t>
  </si>
  <si>
    <t>Improve fee explanation script</t>
  </si>
  <si>
    <t>Not Started</t>
  </si>
  <si>
    <t>FB-005</t>
  </si>
  <si>
    <t>Family Member</t>
  </si>
  <si>
    <t>Nursing Handover</t>
  </si>
  <si>
    <t>Clear directions</t>
  </si>
  <si>
    <t>Maintain standard process</t>
  </si>
  <si>
    <t>FB-006</t>
  </si>
  <si>
    <t>Long wait</t>
  </si>
  <si>
    <t>Open second desk during peak hour</t>
  </si>
  <si>
    <t>Administration Supervisor</t>
  </si>
  <si>
    <t>At Risk</t>
  </si>
  <si>
    <t>FB-007</t>
  </si>
  <si>
    <t>Follow-up</t>
  </si>
  <si>
    <t>Follow-up details</t>
  </si>
  <si>
    <t>Send written follow-up summary</t>
  </si>
  <si>
    <t>FB-008</t>
  </si>
  <si>
    <t>Pharmacy</t>
  </si>
  <si>
    <t>Clear guidance</t>
  </si>
  <si>
    <t>Share best practice with team</t>
  </si>
  <si>
    <t>FB-009</t>
  </si>
  <si>
    <t>Reschedule update</t>
  </si>
  <si>
    <t>Improve change notification script</t>
  </si>
  <si>
    <t>FB-010</t>
  </si>
  <si>
    <t>Prepared file</t>
  </si>
  <si>
    <t>Continue pre-check routine</t>
  </si>
  <si>
    <t>Patient Experience KPI Monitoring</t>
  </si>
  <si>
    <t>Baseline</t>
  </si>
  <si>
    <t>Month 1</t>
  </si>
  <si>
    <t>Month 2</t>
  </si>
  <si>
    <t>Month 3</t>
  </si>
  <si>
    <t>Direction</t>
  </si>
  <si>
    <t>Lower is Better</t>
  </si>
  <si>
    <t>Higher is Better</t>
  </si>
  <si>
    <t>Patient Experience Implementation Timeline</t>
  </si>
  <si>
    <t>Phase</t>
  </si>
  <si>
    <t>Month</t>
  </si>
  <si>
    <t>Initiative</t>
  </si>
  <si>
    <t>Start Date</t>
  </si>
  <si>
    <t>End Date</t>
  </si>
  <si>
    <t>Deliverable</t>
  </si>
  <si>
    <t>Progress</t>
  </si>
  <si>
    <t>Phase 1: Assessment</t>
  </si>
  <si>
    <t>Review patient complaints and feedback themes</t>
  </si>
  <si>
    <t>Feedback summary</t>
  </si>
  <si>
    <t>Measure wait time at front desk and key service points</t>
  </si>
  <si>
    <t>Wait time baseline</t>
  </si>
  <si>
    <t>Phase 2: Process Update</t>
  </si>
  <si>
    <t>Launch check-in checklist and document readiness review</t>
  </si>
  <si>
    <t>Updated checklist</t>
  </si>
  <si>
    <t>Introduce appointment reminder and change update process</t>
  </si>
  <si>
    <t>Reminder tracker</t>
  </si>
  <si>
    <t>Phase 3: Training</t>
  </si>
  <si>
    <t>Complete service quality and complaint handling training</t>
  </si>
  <si>
    <t>Training attendance log</t>
  </si>
  <si>
    <t>Phase 3: Monitoring</t>
  </si>
  <si>
    <t>Publish monthly dashboard and improvement review</t>
  </si>
  <si>
    <t>KPI report</t>
  </si>
  <si>
    <t>Patient Experience Budget Tracker</t>
  </si>
  <si>
    <t>Item</t>
  </si>
  <si>
    <t>Category</t>
  </si>
  <si>
    <t>Planned Cost</t>
  </si>
  <si>
    <t>Actual Cost</t>
  </si>
  <si>
    <t>Staff service training</t>
  </si>
  <si>
    <t>Training</t>
  </si>
  <si>
    <t>Communication and complaint handling</t>
  </si>
  <si>
    <t>Digital feedback form setup</t>
  </si>
  <si>
    <t>Technology</t>
  </si>
  <si>
    <t>QR form and monthly feedback export</t>
  </si>
  <si>
    <t>Queue tracking sheet and dashboard</t>
  </si>
  <si>
    <t>Daily wait-time monitoring</t>
  </si>
  <si>
    <t>Reminder message process</t>
  </si>
  <si>
    <t>Communication</t>
  </si>
  <si>
    <t>Confirmation and reminder tracker</t>
  </si>
  <si>
    <t>Printed patient information materials</t>
  </si>
  <si>
    <t>Clear visit steps and required documents</t>
  </si>
  <si>
    <t>Total</t>
  </si>
  <si>
    <t>Staff Training Plan</t>
  </si>
  <si>
    <t>Training Topic</t>
  </si>
  <si>
    <t>Audience</t>
  </si>
  <si>
    <t>Delivery Date</t>
  </si>
  <si>
    <t>Trainer</t>
  </si>
  <si>
    <t>Completion Target</t>
  </si>
  <si>
    <t>Completion Actual</t>
  </si>
  <si>
    <t>Evidence</t>
  </si>
  <si>
    <t>Patient communication etiquette</t>
  </si>
  <si>
    <t>Front desk and administration staff</t>
  </si>
  <si>
    <t>Scheduled</t>
  </si>
  <si>
    <t>Attendance sheet</t>
  </si>
  <si>
    <t>Complaint handling and service recovery</t>
  </si>
  <si>
    <t>Patient-facing staff</t>
  </si>
  <si>
    <t>Scenario practice checklist</t>
  </si>
  <si>
    <t>Appointment coordination standards</t>
  </si>
  <si>
    <t>Front desk and clinic coordinators</t>
  </si>
  <si>
    <t>Scheduler quality review</t>
  </si>
  <si>
    <t>Confidentiality and data protection</t>
  </si>
  <si>
    <t>All administration staff</t>
  </si>
  <si>
    <t>Acknowledgment form</t>
  </si>
  <si>
    <t>Feedback review and improvement actions</t>
  </si>
  <si>
    <t>Leads and supervisors</t>
  </si>
  <si>
    <t>Planned</t>
  </si>
  <si>
    <t>Monthly review template</t>
  </si>
  <si>
    <t>Complaint Resolution Tracker</t>
  </si>
  <si>
    <t>Case ID</t>
  </si>
  <si>
    <t>Date Received</t>
  </si>
  <si>
    <t>Issue Summary</t>
  </si>
  <si>
    <t>Priority</t>
  </si>
  <si>
    <t>Assigned To</t>
  </si>
  <si>
    <t>Target Closure Date</t>
  </si>
  <si>
    <t>Days to Close</t>
  </si>
  <si>
    <t>Root Cause</t>
  </si>
  <si>
    <t>Corrective Action</t>
  </si>
  <si>
    <t>CR-001</t>
  </si>
  <si>
    <t>Waiting Time</t>
  </si>
  <si>
    <t>Patient waited over expected front desk time</t>
  </si>
  <si>
    <t>High</t>
  </si>
  <si>
    <t>Peak-hour staffing gap</t>
  </si>
  <si>
    <t>Add second front desk coverage at busy periods</t>
  </si>
  <si>
    <t>CR-002</t>
  </si>
  <si>
    <t>Appointment change was not explained clearly</t>
  </si>
  <si>
    <t>Medium</t>
  </si>
  <si>
    <t>No standard update script</t>
  </si>
  <si>
    <t>Use patient update script for schedule changes</t>
  </si>
  <si>
    <t>CR-003</t>
  </si>
  <si>
    <t>Records</t>
  </si>
  <si>
    <t>Patient was asked for the same document twice</t>
  </si>
  <si>
    <t>Document status not visible</t>
  </si>
  <si>
    <t>Add document-ready field in tracker</t>
  </si>
  <si>
    <t>CR-004</t>
  </si>
  <si>
    <t>Patient needed clearer information about payment step</t>
  </si>
  <si>
    <t>Low</t>
  </si>
  <si>
    <t>Unclear handover</t>
  </si>
  <si>
    <t>Provide short billing guidance note</t>
  </si>
  <si>
    <t>Patient Journey Improvement Map</t>
  </si>
  <si>
    <t>Journey Step</t>
  </si>
  <si>
    <t>Current Pain Point</t>
  </si>
  <si>
    <t>Improvement Action</t>
  </si>
  <si>
    <t>Tool / Template</t>
  </si>
  <si>
    <t>Responsible Team</t>
  </si>
  <si>
    <t>KPI</t>
  </si>
  <si>
    <t>Expected Benefit</t>
  </si>
  <si>
    <t>Appointment booked</t>
  </si>
  <si>
    <t>Patient may not receive clear confirmation</t>
  </si>
  <si>
    <t>Send confirmation with date, time, location, and required documents</t>
  </si>
  <si>
    <t>Appointment confirmation tracker</t>
  </si>
  <si>
    <t>Confirmation accuracy</t>
  </si>
  <si>
    <t>Fewer missed visits</t>
  </si>
  <si>
    <t>Pre-visit preparation</t>
  </si>
  <si>
    <t>Records may not be ready before arrival</t>
  </si>
  <si>
    <t>Complete document check one day before appointment</t>
  </si>
  <si>
    <t>Document readiness checklist</t>
  </si>
  <si>
    <t>Record readiness</t>
  </si>
  <si>
    <t>Shorter registration time</t>
  </si>
  <si>
    <t>Arrival and check-in</t>
  </si>
  <si>
    <t>Queue may build during peak hours</t>
  </si>
  <si>
    <t>Track arrival time and assign second counter when needed</t>
  </si>
  <si>
    <t>Queue monitoring dashboard</t>
  </si>
  <si>
    <t>Wait time</t>
  </si>
  <si>
    <t>Lower patient frustration</t>
  </si>
  <si>
    <t>Department handover</t>
  </si>
  <si>
    <t>Patient may not know next step</t>
  </si>
  <si>
    <t>Use clear handover note and direction script</t>
  </si>
  <si>
    <t>Patient direction script</t>
  </si>
  <si>
    <t>Service clarity score</t>
  </si>
  <si>
    <t>Better patient confidence</t>
  </si>
  <si>
    <t>Billing or pharmacy step</t>
  </si>
  <si>
    <t>Payment or collection steps may be unclear</t>
  </si>
  <si>
    <t>Provide brief written guidance and staff explanation</t>
  </si>
  <si>
    <t>Patient information note</t>
  </si>
  <si>
    <t>Billing clarity score</t>
  </si>
  <si>
    <t>Reduced confusion</t>
  </si>
  <si>
    <t>Feedback and follow-up</t>
  </si>
  <si>
    <t>Feedback may not be reviewed regularly</t>
  </si>
  <si>
    <t>Collect and review feedback every month</t>
  </si>
  <si>
    <t>Feedback tracker</t>
  </si>
  <si>
    <t>Satisfaction score</t>
  </si>
  <si>
    <t>Continuous improvement</t>
  </si>
  <si>
    <t>Patient Experience Action Plan</t>
  </si>
  <si>
    <t>Action ID</t>
  </si>
  <si>
    <t>Due Date</t>
  </si>
  <si>
    <t>Dependency</t>
  </si>
  <si>
    <t>A-001</t>
  </si>
  <si>
    <t>Introduce front desk check-in checklist</t>
  </si>
  <si>
    <t>Approved checklist</t>
  </si>
  <si>
    <t>Pilot during morning peak</t>
  </si>
  <si>
    <t>A-002</t>
  </si>
  <si>
    <t>Start pre-visit record readiness review</t>
  </si>
  <si>
    <t>Patient list from scheduler</t>
  </si>
  <si>
    <t>Review one day before visit</t>
  </si>
  <si>
    <t>A-003</t>
  </si>
  <si>
    <t>Launch reminder and change update process</t>
  </si>
  <si>
    <t>Updated contact fields</t>
  </si>
  <si>
    <t>Use consistent wording</t>
  </si>
  <si>
    <t>A-004</t>
  </si>
  <si>
    <t>Create patient feedback QR form</t>
  </si>
  <si>
    <t>Approved questions</t>
  </si>
  <si>
    <t>Include rating and open comment</t>
  </si>
  <si>
    <t>A-005</t>
  </si>
  <si>
    <t>Deliver service quality training</t>
  </si>
  <si>
    <t>Training material ready</t>
  </si>
  <si>
    <t>Include confidentiality reminder</t>
  </si>
  <si>
    <t>A-006</t>
  </si>
  <si>
    <t>Review KPI dashboard every month</t>
  </si>
  <si>
    <t>Dashboard updated</t>
  </si>
  <si>
    <t>Share with department leads</t>
  </si>
  <si>
    <t>Training Status</t>
  </si>
  <si>
    <t>Urgent</t>
  </si>
  <si>
    <t>Follow-up Required</t>
  </si>
  <si>
    <t>On Hold</t>
  </si>
  <si>
    <t>Appointment</t>
  </si>
  <si>
    <t>Staff Courtesy</t>
  </si>
  <si>
    <t>Service 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</si>
</sst>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&quot;min&quot;"/>
    <numFmt numFmtId="165" formatCode="#,##0\ &quot;AED&quot;"/>
    <numFmt numFmtId="166" formatCode="0.0"/>
    <numFmt numFmtId="167" formatCode="dd\-mmm\-yyyy"/>
  </numFmts>
  <fonts count="5">
    <font>
      <sz val="11"/>
      <name val="Carlito"/>
    </font>
    <font>
      <b/>
      <sz val="11"/>
      <color rgb="FF0F2F3A"/>
      <name val="Carlito"/>
    </font>
    <font>
      <b/>
      <sz val="16"/>
      <color rgb="FFFFFFFF"/>
      <name val="Carlito"/>
    </font>
    <font>
      <i/>
      <sz val="11"/>
      <color rgb="FF365A63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EAF2"/>
      </patternFill>
    </fill>
    <fill>
      <patternFill patternType="solid">
        <fgColor rgb="FF0F4C5C"/>
      </patternFill>
    </fill>
    <fill>
      <patternFill patternType="solid">
        <fgColor rgb="FFF4F9FB"/>
      </patternFill>
    </fill>
    <fill>
      <patternFill patternType="solid">
        <fgColor rgb="FF1F7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/>
    </xf>
    <xf numFmtId="167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4" fillId="5" borderId="0" xfId="0" applyFont="1" applyFill="1" applyAlignment="1">
      <alignment horizontal="center" vertical="top" wrapText="1"/>
    </xf>
    <xf numFmtId="165" fontId="4" fillId="5" borderId="0" xfId="0" applyNumberFormat="1" applyFont="1" applyFill="1" applyAlignment="1">
      <alignment horizontal="center" vertical="top" wrapText="1"/>
    </xf>
    <xf numFmtId="1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ont>
        <color rgb="FFB0002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Baseline Score</c:v>
          </c:tx>
          <c:invertIfNegative val="1"/>
          <c:cat>
            <c:strRef>
              <c:f>Dashboard!$A$14:$A$18</c:f>
              <c:strCache>
                <c:ptCount val="5"/>
                <c:pt idx="0">
                  <c:v>Front Desk Communication</c:v>
                </c:pt>
                <c:pt idx="1">
                  <c:v>Appointment Updates</c:v>
                </c:pt>
                <c:pt idx="2">
                  <c:v>Record Preparedness</c:v>
                </c:pt>
                <c:pt idx="3">
                  <c:v>Billing Clarity</c:v>
                </c:pt>
                <c:pt idx="4">
                  <c:v>Overall Experience</c:v>
                </c:pt>
              </c:strCache>
            </c:strRef>
          </c:cat>
          <c:val>
            <c:numRef>
              <c:f>Dashboard!$B$14:$B$18</c:f>
              <c:numCache>
                <c:formatCode>0.0</c:formatCode>
                <c:ptCount val="5"/>
                <c:pt idx="0">
                  <c:v>3.7</c:v>
                </c:pt>
                <c:pt idx="1">
                  <c:v>3.6</c:v>
                </c:pt>
                <c:pt idx="2">
                  <c:v>3.8</c:v>
                </c:pt>
                <c:pt idx="3">
                  <c:v>3.5</c:v>
                </c:pt>
                <c:pt idx="4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6-4716-B172-519AE5BB2A51}"/>
            </c:ext>
          </c:extLst>
        </c:ser>
        <c:ser>
          <c:idx val="1"/>
          <c:order val="1"/>
          <c:tx>
            <c:v>Target Score</c:v>
          </c:tx>
          <c:invertIfNegative val="1"/>
          <c:cat>
            <c:strRef>
              <c:f>Dashboard!$A$14:$A$18</c:f>
              <c:strCache>
                <c:ptCount val="5"/>
                <c:pt idx="0">
                  <c:v>Front Desk Communication</c:v>
                </c:pt>
                <c:pt idx="1">
                  <c:v>Appointment Updates</c:v>
                </c:pt>
                <c:pt idx="2">
                  <c:v>Record Preparedness</c:v>
                </c:pt>
                <c:pt idx="3">
                  <c:v>Billing Clarity</c:v>
                </c:pt>
                <c:pt idx="4">
                  <c:v>Overall Experience</c:v>
                </c:pt>
              </c:strCache>
            </c:strRef>
          </c:cat>
          <c:val>
            <c:numRef>
              <c:f>Dashboard!$C$14:$C$18</c:f>
              <c:numCache>
                <c:formatCode>0.0</c:formatCode>
                <c:ptCount val="5"/>
                <c:pt idx="0">
                  <c:v>4.5</c:v>
                </c:pt>
                <c:pt idx="1">
                  <c:v>4.5999999999999996</c:v>
                </c:pt>
                <c:pt idx="2">
                  <c:v>4.5</c:v>
                </c:pt>
                <c:pt idx="3">
                  <c:v>4.4000000000000004</c:v>
                </c:pt>
                <c:pt idx="4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6-4716-B172-519AE5BB2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KPI Progress by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Baseline</c:v>
          </c:tx>
          <c:cat>
            <c:strRef>
              <c:f>'KPI Monitoring'!$A$4:$A$9</c:f>
              <c:strCache>
                <c:ptCount val="6"/>
                <c:pt idx="0">
                  <c:v>Average Front Desk Wait Time</c:v>
                </c:pt>
                <c:pt idx="1">
                  <c:v>Patient Satisfaction Score</c:v>
                </c:pt>
                <c:pt idx="2">
                  <c:v>Appointment Confirmation Accuracy</c:v>
                </c:pt>
                <c:pt idx="3">
                  <c:v>Complaint Closure Within 48 Hours</c:v>
                </c:pt>
                <c:pt idx="4">
                  <c:v>Record Readiness Before Visit</c:v>
                </c:pt>
                <c:pt idx="5">
                  <c:v>Missed Appointment Rate</c:v>
                </c:pt>
              </c:strCache>
            </c:strRef>
          </c:cat>
          <c:val>
            <c:numRef>
              <c:f>'KPI Monitoring'!$B$4:$B$9</c:f>
              <c:numCache>
                <c:formatCode>0%</c:formatCode>
                <c:ptCount val="6"/>
                <c:pt idx="0" formatCode="0\ &quot;min&quot;">
                  <c:v>18</c:v>
                </c:pt>
                <c:pt idx="1">
                  <c:v>0.78</c:v>
                </c:pt>
                <c:pt idx="2">
                  <c:v>0.85</c:v>
                </c:pt>
                <c:pt idx="3">
                  <c:v>0.7</c:v>
                </c:pt>
                <c:pt idx="4">
                  <c:v>0.8</c:v>
                </c:pt>
                <c:pt idx="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A-4AB0-810A-30418ACD6DAF}"/>
            </c:ext>
          </c:extLst>
        </c:ser>
        <c:ser>
          <c:idx val="1"/>
          <c:order val="1"/>
          <c:tx>
            <c:v>Month 1</c:v>
          </c:tx>
          <c:cat>
            <c:strRef>
              <c:f>'KPI Monitoring'!$A$4:$A$9</c:f>
              <c:strCache>
                <c:ptCount val="6"/>
                <c:pt idx="0">
                  <c:v>Average Front Desk Wait Time</c:v>
                </c:pt>
                <c:pt idx="1">
                  <c:v>Patient Satisfaction Score</c:v>
                </c:pt>
                <c:pt idx="2">
                  <c:v>Appointment Confirmation Accuracy</c:v>
                </c:pt>
                <c:pt idx="3">
                  <c:v>Complaint Closure Within 48 Hours</c:v>
                </c:pt>
                <c:pt idx="4">
                  <c:v>Record Readiness Before Visit</c:v>
                </c:pt>
                <c:pt idx="5">
                  <c:v>Missed Appointment Rate</c:v>
                </c:pt>
              </c:strCache>
            </c:strRef>
          </c:cat>
          <c:val>
            <c:numRef>
              <c:f>'KPI Monitoring'!$C$4:$C$9</c:f>
              <c:numCache>
                <c:formatCode>0%</c:formatCode>
                <c:ptCount val="6"/>
                <c:pt idx="0" formatCode="0\ &quot;min&quot;">
                  <c:v>16</c:v>
                </c:pt>
                <c:pt idx="1">
                  <c:v>0.82</c:v>
                </c:pt>
                <c:pt idx="2">
                  <c:v>0.9</c:v>
                </c:pt>
                <c:pt idx="3">
                  <c:v>0.78</c:v>
                </c:pt>
                <c:pt idx="4">
                  <c:v>0.86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9A-4AB0-810A-30418ACD6DAF}"/>
            </c:ext>
          </c:extLst>
        </c:ser>
        <c:ser>
          <c:idx val="2"/>
          <c:order val="2"/>
          <c:tx>
            <c:v>Month 2</c:v>
          </c:tx>
          <c:cat>
            <c:strRef>
              <c:f>'KPI Monitoring'!$A$4:$A$9</c:f>
              <c:strCache>
                <c:ptCount val="6"/>
                <c:pt idx="0">
                  <c:v>Average Front Desk Wait Time</c:v>
                </c:pt>
                <c:pt idx="1">
                  <c:v>Patient Satisfaction Score</c:v>
                </c:pt>
                <c:pt idx="2">
                  <c:v>Appointment Confirmation Accuracy</c:v>
                </c:pt>
                <c:pt idx="3">
                  <c:v>Complaint Closure Within 48 Hours</c:v>
                </c:pt>
                <c:pt idx="4">
                  <c:v>Record Readiness Before Visit</c:v>
                </c:pt>
                <c:pt idx="5">
                  <c:v>Missed Appointment Rate</c:v>
                </c:pt>
              </c:strCache>
            </c:strRef>
          </c:cat>
          <c:val>
            <c:numRef>
              <c:f>'KPI Monitoring'!$D$4:$D$9</c:f>
              <c:numCache>
                <c:formatCode>0%</c:formatCode>
                <c:ptCount val="6"/>
                <c:pt idx="0" formatCode="0\ &quot;min&quot;">
                  <c:v>13</c:v>
                </c:pt>
                <c:pt idx="1">
                  <c:v>0.86</c:v>
                </c:pt>
                <c:pt idx="2">
                  <c:v>0.94</c:v>
                </c:pt>
                <c:pt idx="3">
                  <c:v>0.88</c:v>
                </c:pt>
                <c:pt idx="4">
                  <c:v>0.91</c:v>
                </c:pt>
                <c:pt idx="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9A-4AB0-810A-30418ACD6DAF}"/>
            </c:ext>
          </c:extLst>
        </c:ser>
        <c:ser>
          <c:idx val="3"/>
          <c:order val="3"/>
          <c:tx>
            <c:v>Month 3</c:v>
          </c:tx>
          <c:cat>
            <c:strRef>
              <c:f>'KPI Monitoring'!$A$4:$A$9</c:f>
              <c:strCache>
                <c:ptCount val="6"/>
                <c:pt idx="0">
                  <c:v>Average Front Desk Wait Time</c:v>
                </c:pt>
                <c:pt idx="1">
                  <c:v>Patient Satisfaction Score</c:v>
                </c:pt>
                <c:pt idx="2">
                  <c:v>Appointment Confirmation Accuracy</c:v>
                </c:pt>
                <c:pt idx="3">
                  <c:v>Complaint Closure Within 48 Hours</c:v>
                </c:pt>
                <c:pt idx="4">
                  <c:v>Record Readiness Before Visit</c:v>
                </c:pt>
                <c:pt idx="5">
                  <c:v>Missed Appointment Rate</c:v>
                </c:pt>
              </c:strCache>
            </c:strRef>
          </c:cat>
          <c:val>
            <c:numRef>
              <c:f>'KPI Monitoring'!$E$4:$E$9</c:f>
              <c:numCache>
                <c:formatCode>0%</c:formatCode>
                <c:ptCount val="6"/>
                <c:pt idx="0" formatCode="0\ &quot;min&quot;">
                  <c:v>10</c:v>
                </c:pt>
                <c:pt idx="1">
                  <c:v>0.9</c:v>
                </c:pt>
                <c:pt idx="2">
                  <c:v>0.97</c:v>
                </c:pt>
                <c:pt idx="3">
                  <c:v>0.95</c:v>
                </c:pt>
                <c:pt idx="4">
                  <c:v>0.95</c:v>
                </c:pt>
                <c:pt idx="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9A-4AB0-810A-30418ACD6DAF}"/>
            </c:ext>
          </c:extLst>
        </c:ser>
        <c:ser>
          <c:idx val="4"/>
          <c:order val="4"/>
          <c:tx>
            <c:v>Target</c:v>
          </c:tx>
          <c:cat>
            <c:strRef>
              <c:f>'KPI Monitoring'!$A$4:$A$9</c:f>
              <c:strCache>
                <c:ptCount val="6"/>
                <c:pt idx="0">
                  <c:v>Average Front Desk Wait Time</c:v>
                </c:pt>
                <c:pt idx="1">
                  <c:v>Patient Satisfaction Score</c:v>
                </c:pt>
                <c:pt idx="2">
                  <c:v>Appointment Confirmation Accuracy</c:v>
                </c:pt>
                <c:pt idx="3">
                  <c:v>Complaint Closure Within 48 Hours</c:v>
                </c:pt>
                <c:pt idx="4">
                  <c:v>Record Readiness Before Visit</c:v>
                </c:pt>
                <c:pt idx="5">
                  <c:v>Missed Appointment Rate</c:v>
                </c:pt>
              </c:strCache>
            </c:strRef>
          </c:cat>
          <c:val>
            <c:numRef>
              <c:f>'KPI Monitoring'!$F$4:$F$9</c:f>
              <c:numCache>
                <c:formatCode>0%</c:formatCode>
                <c:ptCount val="6"/>
                <c:pt idx="0" formatCode="0\ &quot;min&quot;">
                  <c:v>10</c:v>
                </c:pt>
                <c:pt idx="1">
                  <c:v>0.9</c:v>
                </c:pt>
                <c:pt idx="2">
                  <c:v>0.97</c:v>
                </c:pt>
                <c:pt idx="3">
                  <c:v>0.95</c:v>
                </c:pt>
                <c:pt idx="4">
                  <c:v>0.95</c:v>
                </c:pt>
                <c:pt idx="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9A-4AB0-810A-30418ACD6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\ &quot;min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Category</c:v>
          </c:tx>
          <c:invertIfNegative val="1"/>
          <c:cat>
            <c:strRef>
              <c:f>'Budget Tracker'!$A$4:$A$8</c:f>
              <c:strCache>
                <c:ptCount val="5"/>
                <c:pt idx="0">
                  <c:v>Staff service training</c:v>
                </c:pt>
                <c:pt idx="1">
                  <c:v>Digital feedback form setup</c:v>
                </c:pt>
                <c:pt idx="2">
                  <c:v>Queue tracking sheet and dashboard</c:v>
                </c:pt>
                <c:pt idx="3">
                  <c:v>Reminder message process</c:v>
                </c:pt>
                <c:pt idx="4">
                  <c:v>Printed patient information materials</c:v>
                </c:pt>
              </c:strCache>
            </c:strRef>
          </c:cat>
          <c:val>
            <c:numRef>
              <c:f>'Budget Tracker'!$B$4:$B$8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4-4CAD-9D0F-83B9B4F337F9}"/>
            </c:ext>
          </c:extLst>
        </c:ser>
        <c:ser>
          <c:idx val="1"/>
          <c:order val="1"/>
          <c:tx>
            <c:v>Planned Cost</c:v>
          </c:tx>
          <c:invertIfNegative val="1"/>
          <c:cat>
            <c:strRef>
              <c:f>'Budget Tracker'!$A$4:$A$8</c:f>
              <c:strCache>
                <c:ptCount val="5"/>
                <c:pt idx="0">
                  <c:v>Staff service training</c:v>
                </c:pt>
                <c:pt idx="1">
                  <c:v>Digital feedback form setup</c:v>
                </c:pt>
                <c:pt idx="2">
                  <c:v>Queue tracking sheet and dashboard</c:v>
                </c:pt>
                <c:pt idx="3">
                  <c:v>Reminder message process</c:v>
                </c:pt>
                <c:pt idx="4">
                  <c:v>Printed patient information materials</c:v>
                </c:pt>
              </c:strCache>
            </c:strRef>
          </c:cat>
          <c:val>
            <c:numRef>
              <c:f>'Budget Tracker'!$C$4:$C$8</c:f>
              <c:numCache>
                <c:formatCode>#,##0\ "AED"</c:formatCode>
                <c:ptCount val="5"/>
                <c:pt idx="0">
                  <c:v>3000</c:v>
                </c:pt>
                <c:pt idx="1">
                  <c:v>500</c:v>
                </c:pt>
                <c:pt idx="2">
                  <c:v>1000</c:v>
                </c:pt>
                <c:pt idx="3">
                  <c:v>1200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4-4CAD-9D0F-83B9B4F337F9}"/>
            </c:ext>
          </c:extLst>
        </c:ser>
        <c:ser>
          <c:idx val="2"/>
          <c:order val="2"/>
          <c:tx>
            <c:v>Actual Cost</c:v>
          </c:tx>
          <c:invertIfNegative val="1"/>
          <c:cat>
            <c:strRef>
              <c:f>'Budget Tracker'!$A$4:$A$8</c:f>
              <c:strCache>
                <c:ptCount val="5"/>
                <c:pt idx="0">
                  <c:v>Staff service training</c:v>
                </c:pt>
                <c:pt idx="1">
                  <c:v>Digital feedback form setup</c:v>
                </c:pt>
                <c:pt idx="2">
                  <c:v>Queue tracking sheet and dashboard</c:v>
                </c:pt>
                <c:pt idx="3">
                  <c:v>Reminder message process</c:v>
                </c:pt>
                <c:pt idx="4">
                  <c:v>Printed patient information materials</c:v>
                </c:pt>
              </c:strCache>
            </c:strRef>
          </c:cat>
          <c:val>
            <c:numRef>
              <c:f>'Budget Tracker'!$D$4:$D$8</c:f>
              <c:numCache>
                <c:formatCode>#,##0\ "AED"</c:formatCode>
                <c:ptCount val="5"/>
                <c:pt idx="0">
                  <c:v>2800</c:v>
                </c:pt>
                <c:pt idx="1">
                  <c:v>450</c:v>
                </c:pt>
                <c:pt idx="2">
                  <c:v>950</c:v>
                </c:pt>
                <c:pt idx="3">
                  <c:v>1100</c:v>
                </c:pt>
                <c:pt idx="4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4-4CAD-9D0F-83B9B4F33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edbackTrackerTable" displayName="FeedbackTrackerTable" ref="A3:N60">
  <tableColumns count="14">
    <tableColumn id="1" xr3:uid="{00000000-0010-0000-0000-000001000000}" name="Feedback ID"/>
    <tableColumn id="2" xr3:uid="{00000000-0010-0000-0000-000002000000}" name="Date"/>
    <tableColumn id="3" xr3:uid="{00000000-0010-0000-0000-000003000000}" name="Patient Type"/>
    <tableColumn id="4" xr3:uid="{00000000-0010-0000-0000-000004000000}" name="Touchpoint"/>
    <tableColumn id="5" xr3:uid="{00000000-0010-0000-0000-000005000000}" name="Front Desk Score"/>
    <tableColumn id="6" xr3:uid="{00000000-0010-0000-0000-000006000000}" name="Wait Time Score"/>
    <tableColumn id="7" xr3:uid="{00000000-0010-0000-0000-000007000000}" name="Communication Score"/>
    <tableColumn id="8" xr3:uid="{00000000-0010-0000-0000-000008000000}" name="Records Handling Score"/>
    <tableColumn id="9" xr3:uid="{00000000-0010-0000-0000-000009000000}" name="Overall Score"/>
    <tableColumn id="10" xr3:uid="{00000000-0010-0000-0000-00000A000000}" name="Comment Theme"/>
    <tableColumn id="11" xr3:uid="{00000000-0010-0000-0000-00000B000000}" name="Action Required"/>
    <tableColumn id="12" xr3:uid="{00000000-0010-0000-0000-00000C000000}" name="Owner"/>
    <tableColumn id="13" xr3:uid="{00000000-0010-0000-0000-00000D000000}" name="Status"/>
    <tableColumn id="14" xr3:uid="{00000000-0010-0000-0000-00000E000000}" name="Closure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PIMonitoringTable" displayName="KPIMonitoringTable" ref="A3:I20">
  <tableColumns count="9">
    <tableColumn id="1" xr3:uid="{00000000-0010-0000-0100-000001000000}" name="Metric"/>
    <tableColumn id="2" xr3:uid="{00000000-0010-0000-0100-000002000000}" name="Baseline"/>
    <tableColumn id="3" xr3:uid="{00000000-0010-0000-0100-000003000000}" name="Month 1"/>
    <tableColumn id="4" xr3:uid="{00000000-0010-0000-0100-000004000000}" name="Month 2"/>
    <tableColumn id="5" xr3:uid="{00000000-0010-0000-0100-000005000000}" name="Month 3"/>
    <tableColumn id="6" xr3:uid="{00000000-0010-0000-0100-000006000000}" name="Target"/>
    <tableColumn id="7" xr3:uid="{00000000-0010-0000-0100-000007000000}" name="Direction"/>
    <tableColumn id="8" xr3:uid="{00000000-0010-0000-0100-000008000000}" name="Status"/>
    <tableColumn id="9" xr3:uid="{00000000-0010-0000-0100-000009000000}" name="Own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mplementationTimelineTable" displayName="ImplementationTimelineTable" ref="A3:I20">
  <tableColumns count="9">
    <tableColumn id="1" xr3:uid="{00000000-0010-0000-0200-000001000000}" name="Phase"/>
    <tableColumn id="2" xr3:uid="{00000000-0010-0000-0200-000002000000}" name="Month"/>
    <tableColumn id="3" xr3:uid="{00000000-0010-0000-0200-000003000000}" name="Initiative"/>
    <tableColumn id="4" xr3:uid="{00000000-0010-0000-0200-000004000000}" name="Start Date"/>
    <tableColumn id="5" xr3:uid="{00000000-0010-0000-0200-000005000000}" name="End Date"/>
    <tableColumn id="6" xr3:uid="{00000000-0010-0000-0200-000006000000}" name="Owner"/>
    <tableColumn id="7" xr3:uid="{00000000-0010-0000-0200-000007000000}" name="Deliverable"/>
    <tableColumn id="8" xr3:uid="{00000000-0010-0000-0200-000008000000}" name="Status"/>
    <tableColumn id="9" xr3:uid="{00000000-0010-0000-0200-000009000000}" name="Progre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dgetTrackerTable" displayName="BudgetTrackerTable" ref="A3:H20">
  <tableColumns count="8">
    <tableColumn id="1" xr3:uid="{00000000-0010-0000-0300-000001000000}" name="Item"/>
    <tableColumn id="2" xr3:uid="{00000000-0010-0000-0300-000002000000}" name="Category"/>
    <tableColumn id="3" xr3:uid="{00000000-0010-0000-0300-000003000000}" name="Planned Cost"/>
    <tableColumn id="4" xr3:uid="{00000000-0010-0000-0300-000004000000}" name="Actual Cost"/>
    <tableColumn id="5" xr3:uid="{00000000-0010-0000-0300-000005000000}" name="Variance"/>
    <tableColumn id="6" xr3:uid="{00000000-0010-0000-0300-000006000000}" name="Owner"/>
    <tableColumn id="7" xr3:uid="{00000000-0010-0000-0300-000007000000}" name="Status"/>
    <tableColumn id="8" xr3:uid="{00000000-0010-0000-0300-000008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ffTrainingTable" displayName="StaffTrainingTable" ref="A3:H20">
  <tableColumns count="8">
    <tableColumn id="1" xr3:uid="{00000000-0010-0000-0400-000001000000}" name="Training Topic"/>
    <tableColumn id="2" xr3:uid="{00000000-0010-0000-0400-000002000000}" name="Audience"/>
    <tableColumn id="3" xr3:uid="{00000000-0010-0000-0400-000003000000}" name="Delivery Date"/>
    <tableColumn id="4" xr3:uid="{00000000-0010-0000-0400-000004000000}" name="Trainer"/>
    <tableColumn id="5" xr3:uid="{00000000-0010-0000-0400-000005000000}" name="Completion Target"/>
    <tableColumn id="6" xr3:uid="{00000000-0010-0000-0400-000006000000}" name="Completion Actual"/>
    <tableColumn id="7" xr3:uid="{00000000-0010-0000-0400-000007000000}" name="Status"/>
    <tableColumn id="8" xr3:uid="{00000000-0010-0000-0400-000008000000}" name="Ev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laintResolutionTable" displayName="ComplaintResolutionTable" ref="A3:L40">
  <tableColumns count="12">
    <tableColumn id="1" xr3:uid="{00000000-0010-0000-0500-000001000000}" name="Case ID"/>
    <tableColumn id="2" xr3:uid="{00000000-0010-0000-0500-000002000000}" name="Date Received"/>
    <tableColumn id="3" xr3:uid="{00000000-0010-0000-0500-000003000000}" name="Category"/>
    <tableColumn id="4" xr3:uid="{00000000-0010-0000-0500-000004000000}" name="Issue Summary"/>
    <tableColumn id="5" xr3:uid="{00000000-0010-0000-0500-000005000000}" name="Priority"/>
    <tableColumn id="6" xr3:uid="{00000000-0010-0000-0500-000006000000}" name="Assigned To"/>
    <tableColumn id="7" xr3:uid="{00000000-0010-0000-0500-000007000000}" name="Target Closure Date"/>
    <tableColumn id="8" xr3:uid="{00000000-0010-0000-0500-000008000000}" name="Closure Date"/>
    <tableColumn id="9" xr3:uid="{00000000-0010-0000-0500-000009000000}" name="Days to Close"/>
    <tableColumn id="10" xr3:uid="{00000000-0010-0000-0500-00000A000000}" name="Status"/>
    <tableColumn id="11" xr3:uid="{00000000-0010-0000-0500-00000B000000}" name="Root Cause"/>
    <tableColumn id="12" xr3:uid="{00000000-0010-0000-0500-00000C000000}" name="Corrective A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tientJourneyTable" displayName="PatientJourneyTable" ref="A3:H20">
  <tableColumns count="8">
    <tableColumn id="1" xr3:uid="{00000000-0010-0000-0600-000001000000}" name="Journey Step"/>
    <tableColumn id="2" xr3:uid="{00000000-0010-0000-0600-000002000000}" name="Current Pain Point"/>
    <tableColumn id="3" xr3:uid="{00000000-0010-0000-0600-000003000000}" name="Improvement Action"/>
    <tableColumn id="4" xr3:uid="{00000000-0010-0000-0600-000004000000}" name="Tool / Template"/>
    <tableColumn id="5" xr3:uid="{00000000-0010-0000-0600-000005000000}" name="Responsible Team"/>
    <tableColumn id="6" xr3:uid="{00000000-0010-0000-0600-000006000000}" name="KPI"/>
    <tableColumn id="7" xr3:uid="{00000000-0010-0000-0600-000007000000}" name="Expected Benefit"/>
    <tableColumn id="8" xr3:uid="{00000000-0010-0000-0600-000008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ctionPlanTable" displayName="ActionPlanTable" ref="A3:J40">
  <tableColumns count="10">
    <tableColumn id="1" xr3:uid="{00000000-0010-0000-0700-000001000000}" name="Action ID"/>
    <tableColumn id="2" xr3:uid="{00000000-0010-0000-0700-000002000000}" name="Initiative"/>
    <tableColumn id="3" xr3:uid="{00000000-0010-0000-0700-000003000000}" name="Priority"/>
    <tableColumn id="4" xr3:uid="{00000000-0010-0000-0700-000004000000}" name="Owner"/>
    <tableColumn id="5" xr3:uid="{00000000-0010-0000-0700-000005000000}" name="Start Date"/>
    <tableColumn id="6" xr3:uid="{00000000-0010-0000-0700-000006000000}" name="Due Date"/>
    <tableColumn id="7" xr3:uid="{00000000-0010-0000-0700-000007000000}" name="Status"/>
    <tableColumn id="8" xr3:uid="{00000000-0010-0000-0700-000008000000}" name="Progress"/>
    <tableColumn id="9" xr3:uid="{00000000-0010-0000-0700-000009000000}" name="Dependency"/>
    <tableColumn id="10" xr3:uid="{00000000-0010-0000-07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3.8"/>
  <cols>
    <col min="1" max="1" width="34" customWidth="1"/>
    <col min="2" max="4" width="12" customWidth="1"/>
    <col min="5" max="5" width="3" customWidth="1"/>
    <col min="6" max="6" width="30" customWidth="1"/>
    <col min="7" max="7" width="18" customWidth="1"/>
    <col min="8" max="8" width="30" customWidth="1"/>
  </cols>
  <sheetData>
    <row r="1" spans="1:26" ht="24" customHeight="1">
      <c r="A1" s="14" t="s">
        <v>0</v>
      </c>
      <c r="B1" s="15"/>
      <c r="C1" s="15"/>
      <c r="D1" s="15"/>
      <c r="E1" s="15"/>
      <c r="F1" s="15"/>
      <c r="G1" s="15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05" customHeight="1">
      <c r="A2" s="16" t="s">
        <v>1</v>
      </c>
      <c r="B2" s="15"/>
      <c r="C2" s="15"/>
      <c r="D2" s="15"/>
      <c r="E2" s="15"/>
      <c r="F2" s="15"/>
      <c r="G2" s="15"/>
      <c r="H2" s="1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35" customHeight="1">
      <c r="A4" s="2" t="s">
        <v>2</v>
      </c>
      <c r="B4" s="2" t="s">
        <v>3</v>
      </c>
      <c r="C4" s="2" t="s">
        <v>4</v>
      </c>
      <c r="D4" s="2" t="s">
        <v>5</v>
      </c>
      <c r="E4" s="3"/>
      <c r="F4" s="2" t="s">
        <v>6</v>
      </c>
      <c r="G4" s="2" t="s">
        <v>7</v>
      </c>
      <c r="H4" s="2" t="s">
        <v>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35" customHeight="1">
      <c r="A5" s="3" t="s">
        <v>9</v>
      </c>
      <c r="B5" s="13">
        <v>18</v>
      </c>
      <c r="C5" s="13">
        <v>10</v>
      </c>
      <c r="D5" s="13">
        <f>B5-C5</f>
        <v>8</v>
      </c>
      <c r="E5" s="3"/>
      <c r="F5" s="3" t="s">
        <v>10</v>
      </c>
      <c r="G5" s="5">
        <v>6500</v>
      </c>
      <c r="H5" s="3" t="s">
        <v>11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35" customHeight="1">
      <c r="A6" s="3" t="s">
        <v>12</v>
      </c>
      <c r="B6" s="9">
        <v>0.78</v>
      </c>
      <c r="C6" s="9">
        <v>0.9</v>
      </c>
      <c r="D6" s="9">
        <f>C6-B6</f>
        <v>0.12</v>
      </c>
      <c r="E6" s="3"/>
      <c r="F6" s="3" t="s">
        <v>13</v>
      </c>
      <c r="G6" s="5">
        <v>6000</v>
      </c>
      <c r="H6" s="3" t="s">
        <v>14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35" customHeight="1">
      <c r="A7" s="3" t="s">
        <v>15</v>
      </c>
      <c r="B7" s="9">
        <v>0.85</v>
      </c>
      <c r="C7" s="9">
        <v>0.97</v>
      </c>
      <c r="D7" s="9">
        <f>C7-B7</f>
        <v>0.12</v>
      </c>
      <c r="E7" s="3"/>
      <c r="F7" s="3" t="s">
        <v>16</v>
      </c>
      <c r="G7" s="5">
        <f>G5-G6</f>
        <v>500</v>
      </c>
      <c r="H7" s="3" t="s">
        <v>17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35" customHeight="1">
      <c r="A8" s="3" t="s">
        <v>18</v>
      </c>
      <c r="B8" s="9">
        <v>0.7</v>
      </c>
      <c r="C8" s="9">
        <v>0.95</v>
      </c>
      <c r="D8" s="9">
        <f>C8-B8</f>
        <v>0.25</v>
      </c>
      <c r="E8" s="3"/>
      <c r="F8" s="3" t="s">
        <v>19</v>
      </c>
      <c r="G8" s="3" t="s">
        <v>20</v>
      </c>
      <c r="H8" s="3" t="s">
        <v>21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85" customHeight="1">
      <c r="A9" s="3" t="s">
        <v>22</v>
      </c>
      <c r="B9" s="9">
        <v>0.8</v>
      </c>
      <c r="C9" s="9">
        <v>0.95</v>
      </c>
      <c r="D9" s="9">
        <f>C9-B9</f>
        <v>0.14999999999999991</v>
      </c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85" customHeight="1">
      <c r="A10" s="3" t="s">
        <v>23</v>
      </c>
      <c r="B10" s="9">
        <v>0.12</v>
      </c>
      <c r="C10" s="9">
        <v>7.0000000000000007E-2</v>
      </c>
      <c r="D10" s="9">
        <f>B10-C10</f>
        <v>4.9999999999999989E-2</v>
      </c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/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15" customHeight="1">
      <c r="A13" s="2" t="s">
        <v>24</v>
      </c>
      <c r="B13" s="2" t="s">
        <v>25</v>
      </c>
      <c r="C13" s="2" t="s">
        <v>26</v>
      </c>
      <c r="D13" s="2" t="s">
        <v>27</v>
      </c>
      <c r="E13" s="3"/>
      <c r="F13" s="2" t="s">
        <v>28</v>
      </c>
      <c r="G13" s="2" t="s">
        <v>29</v>
      </c>
      <c r="H13" s="2" t="s">
        <v>30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15" customHeight="1">
      <c r="A14" s="3" t="s">
        <v>31</v>
      </c>
      <c r="B14" s="8">
        <v>3.7</v>
      </c>
      <c r="C14" s="8">
        <v>4.5</v>
      </c>
      <c r="D14" s="3" t="s">
        <v>32</v>
      </c>
      <c r="E14" s="3"/>
      <c r="F14" s="3" t="s">
        <v>33</v>
      </c>
      <c r="G14" s="3" t="s">
        <v>34</v>
      </c>
      <c r="H14" s="7">
        <v>46213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15" customHeight="1">
      <c r="A15" s="3" t="s">
        <v>35</v>
      </c>
      <c r="B15" s="8">
        <v>3.6</v>
      </c>
      <c r="C15" s="8">
        <v>4.5999999999999996</v>
      </c>
      <c r="D15" s="3" t="s">
        <v>32</v>
      </c>
      <c r="E15" s="3"/>
      <c r="F15" s="3" t="s">
        <v>36</v>
      </c>
      <c r="G15" s="3" t="s">
        <v>37</v>
      </c>
      <c r="H15" s="7">
        <v>46220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15" customHeight="1">
      <c r="A16" s="3" t="s">
        <v>38</v>
      </c>
      <c r="B16" s="8">
        <v>3.8</v>
      </c>
      <c r="C16" s="8">
        <v>4.5</v>
      </c>
      <c r="D16" s="3" t="s">
        <v>32</v>
      </c>
      <c r="E16" s="3"/>
      <c r="F16" s="3" t="s">
        <v>39</v>
      </c>
      <c r="G16" s="3" t="s">
        <v>40</v>
      </c>
      <c r="H16" s="7">
        <v>46227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15" customHeight="1">
      <c r="A17" s="3" t="s">
        <v>41</v>
      </c>
      <c r="B17" s="8">
        <v>3.5</v>
      </c>
      <c r="C17" s="8">
        <v>4.4000000000000004</v>
      </c>
      <c r="D17" s="3" t="s">
        <v>32</v>
      </c>
      <c r="E17" s="3"/>
      <c r="F17" s="3" t="s">
        <v>42</v>
      </c>
      <c r="G17" s="3" t="s">
        <v>43</v>
      </c>
      <c r="H17" s="7">
        <v>46241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15" customHeight="1">
      <c r="A18" s="3" t="s">
        <v>44</v>
      </c>
      <c r="B18" s="8">
        <v>3.9</v>
      </c>
      <c r="C18" s="8">
        <v>4.5999999999999996</v>
      </c>
      <c r="D18" s="3" t="s">
        <v>32</v>
      </c>
      <c r="E18" s="3"/>
      <c r="F18" s="3" t="s">
        <v>45</v>
      </c>
      <c r="G18" s="3" t="s">
        <v>46</v>
      </c>
      <c r="H18" s="7">
        <v>46265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/>
      <c r="B19" s="3"/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/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/>
      <c r="B24" s="3"/>
      <c r="C24" s="3"/>
      <c r="D24" s="3"/>
      <c r="E24" s="3"/>
      <c r="F24" s="3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/>
      <c r="B25" s="3"/>
      <c r="C25" s="3"/>
      <c r="D25" s="3"/>
      <c r="E25" s="3"/>
      <c r="F25" s="3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/>
      <c r="B26" s="3"/>
      <c r="C26" s="3"/>
      <c r="D26" s="3"/>
      <c r="E26" s="3"/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/>
      <c r="B27" s="3"/>
      <c r="C27" s="3"/>
      <c r="D27" s="3"/>
      <c r="E27" s="3"/>
      <c r="F27" s="3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/>
      <c r="B28" s="3"/>
      <c r="C28" s="3"/>
      <c r="D28" s="3"/>
      <c r="E28" s="3"/>
      <c r="F28" s="3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/>
      <c r="B29" s="3"/>
      <c r="C29" s="3"/>
      <c r="D29" s="3"/>
      <c r="E29" s="3"/>
      <c r="F29" s="3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/>
      <c r="B30" s="3"/>
      <c r="C30" s="3"/>
      <c r="D30" s="3"/>
      <c r="E30" s="3"/>
      <c r="F30" s="3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/>
      <c r="B31" s="3"/>
      <c r="C31" s="3"/>
      <c r="D31" s="3"/>
      <c r="E31" s="3"/>
      <c r="F31" s="3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/>
      <c r="B32" s="3"/>
      <c r="C32" s="3"/>
      <c r="D32" s="3"/>
      <c r="E32" s="3"/>
      <c r="F32" s="3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/>
      <c r="B34" s="3"/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/>
      <c r="B35" s="3"/>
      <c r="C35" s="3"/>
      <c r="D35" s="3"/>
      <c r="E35" s="3"/>
      <c r="F35" s="3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/>
      <c r="B36" s="3"/>
      <c r="C36" s="3"/>
      <c r="D36" s="3"/>
      <c r="E36" s="3"/>
      <c r="F36" s="3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/>
      <c r="B37" s="3"/>
      <c r="C37" s="3"/>
      <c r="D37" s="3"/>
      <c r="E37" s="3"/>
      <c r="F37" s="3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/>
      <c r="B38" s="3"/>
      <c r="C38" s="3"/>
      <c r="D38" s="3"/>
      <c r="E38" s="3"/>
      <c r="F38" s="3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selection sqref="A1:N1"/>
    </sheetView>
  </sheetViews>
  <sheetFormatPr defaultRowHeight="13.8"/>
  <cols>
    <col min="1" max="1" width="29.59765625" customWidth="1"/>
    <col min="2" max="2" width="10.3984375" bestFit="1" customWidth="1"/>
    <col min="3" max="3" width="16.09765625" customWidth="1"/>
    <col min="4" max="4" width="21.796875" customWidth="1"/>
    <col min="5" max="5" width="16.296875" customWidth="1"/>
    <col min="6" max="6" width="15.8984375" customWidth="1"/>
    <col min="7" max="7" width="20.5" customWidth="1"/>
    <col min="8" max="8" width="21.796875" customWidth="1"/>
    <col min="9" max="9" width="13.5" customWidth="1"/>
    <col min="10" max="12" width="28" customWidth="1"/>
    <col min="13" max="13" width="11.296875" customWidth="1"/>
    <col min="14" max="14" width="13.09765625" customWidth="1"/>
  </cols>
  <sheetData>
    <row r="1" spans="1:26" ht="24" customHeight="1">
      <c r="A1" s="17" t="s">
        <v>47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29</v>
      </c>
      <c r="M3" s="2" t="s">
        <v>27</v>
      </c>
      <c r="N3" s="2" t="s">
        <v>59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60</v>
      </c>
      <c r="B4" s="7">
        <v>46204</v>
      </c>
      <c r="C4" s="3" t="s">
        <v>61</v>
      </c>
      <c r="D4" s="3" t="s">
        <v>62</v>
      </c>
      <c r="E4" s="8">
        <v>4</v>
      </c>
      <c r="F4" s="8">
        <v>3</v>
      </c>
      <c r="G4" s="8">
        <v>4</v>
      </c>
      <c r="H4" s="8">
        <v>4</v>
      </c>
      <c r="I4" s="8">
        <f t="shared" ref="I4:I13" si="0">AVERAGE(E4:H4)</f>
        <v>3.75</v>
      </c>
      <c r="J4" s="3" t="s">
        <v>63</v>
      </c>
      <c r="K4" s="3" t="s">
        <v>64</v>
      </c>
      <c r="L4" s="3" t="s">
        <v>34</v>
      </c>
      <c r="M4" s="3" t="s">
        <v>65</v>
      </c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66</v>
      </c>
      <c r="B5" s="7">
        <v>46204</v>
      </c>
      <c r="C5" s="3" t="s">
        <v>67</v>
      </c>
      <c r="D5" s="3" t="s">
        <v>68</v>
      </c>
      <c r="E5" s="8">
        <v>3</v>
      </c>
      <c r="F5" s="8">
        <v>3</v>
      </c>
      <c r="G5" s="8">
        <v>3</v>
      </c>
      <c r="H5" s="8">
        <v>4</v>
      </c>
      <c r="I5" s="8">
        <f t="shared" si="0"/>
        <v>3.25</v>
      </c>
      <c r="J5" s="3" t="s">
        <v>69</v>
      </c>
      <c r="K5" s="3" t="s">
        <v>70</v>
      </c>
      <c r="L5" s="3" t="s">
        <v>37</v>
      </c>
      <c r="M5" s="3" t="s">
        <v>65</v>
      </c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71</v>
      </c>
      <c r="B6" s="7">
        <v>46205</v>
      </c>
      <c r="C6" s="3" t="s">
        <v>72</v>
      </c>
      <c r="D6" s="3" t="s">
        <v>73</v>
      </c>
      <c r="E6" s="8">
        <v>4</v>
      </c>
      <c r="F6" s="8">
        <v>4</v>
      </c>
      <c r="G6" s="8">
        <v>4</v>
      </c>
      <c r="H6" s="8">
        <v>3</v>
      </c>
      <c r="I6" s="8">
        <f t="shared" si="0"/>
        <v>3.75</v>
      </c>
      <c r="J6" s="3" t="s">
        <v>74</v>
      </c>
      <c r="K6" s="3" t="s">
        <v>75</v>
      </c>
      <c r="L6" s="3" t="s">
        <v>76</v>
      </c>
      <c r="M6" s="3" t="s">
        <v>77</v>
      </c>
      <c r="N6" s="7">
        <v>46207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78</v>
      </c>
      <c r="B7" s="7">
        <v>46206</v>
      </c>
      <c r="C7" s="3" t="s">
        <v>61</v>
      </c>
      <c r="D7" s="3" t="s">
        <v>79</v>
      </c>
      <c r="E7" s="8">
        <v>3</v>
      </c>
      <c r="F7" s="8">
        <v>4</v>
      </c>
      <c r="G7" s="8">
        <v>3</v>
      </c>
      <c r="H7" s="8">
        <v>4</v>
      </c>
      <c r="I7" s="8">
        <f t="shared" si="0"/>
        <v>3.5</v>
      </c>
      <c r="J7" s="3" t="s">
        <v>80</v>
      </c>
      <c r="K7" s="3" t="s">
        <v>81</v>
      </c>
      <c r="L7" s="3" t="s">
        <v>40</v>
      </c>
      <c r="M7" s="3" t="s">
        <v>82</v>
      </c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83</v>
      </c>
      <c r="B8" s="7">
        <v>46206</v>
      </c>
      <c r="C8" s="3" t="s">
        <v>84</v>
      </c>
      <c r="D8" s="3" t="s">
        <v>85</v>
      </c>
      <c r="E8" s="8">
        <v>4</v>
      </c>
      <c r="F8" s="8">
        <v>4</v>
      </c>
      <c r="G8" s="8">
        <v>4</v>
      </c>
      <c r="H8" s="8">
        <v>4</v>
      </c>
      <c r="I8" s="8">
        <f t="shared" si="0"/>
        <v>4</v>
      </c>
      <c r="J8" s="3" t="s">
        <v>86</v>
      </c>
      <c r="K8" s="3" t="s">
        <v>87</v>
      </c>
      <c r="L8" s="3" t="s">
        <v>46</v>
      </c>
      <c r="M8" s="3" t="s">
        <v>77</v>
      </c>
      <c r="N8" s="7">
        <v>46208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3" t="s">
        <v>88</v>
      </c>
      <c r="B9" s="7">
        <v>46207</v>
      </c>
      <c r="C9" s="3" t="s">
        <v>67</v>
      </c>
      <c r="D9" s="3" t="s">
        <v>62</v>
      </c>
      <c r="E9" s="8">
        <v>3</v>
      </c>
      <c r="F9" s="8">
        <v>2</v>
      </c>
      <c r="G9" s="8">
        <v>3</v>
      </c>
      <c r="H9" s="8">
        <v>3</v>
      </c>
      <c r="I9" s="8">
        <f t="shared" si="0"/>
        <v>2.75</v>
      </c>
      <c r="J9" s="3" t="s">
        <v>89</v>
      </c>
      <c r="K9" s="3" t="s">
        <v>90</v>
      </c>
      <c r="L9" s="3" t="s">
        <v>91</v>
      </c>
      <c r="M9" s="3" t="s">
        <v>92</v>
      </c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93</v>
      </c>
      <c r="B10" s="7">
        <v>46208</v>
      </c>
      <c r="C10" s="3" t="s">
        <v>61</v>
      </c>
      <c r="D10" s="3" t="s">
        <v>94</v>
      </c>
      <c r="E10" s="8">
        <v>4</v>
      </c>
      <c r="F10" s="8">
        <v>3</v>
      </c>
      <c r="G10" s="8">
        <v>4</v>
      </c>
      <c r="H10" s="8">
        <v>4</v>
      </c>
      <c r="I10" s="8">
        <f t="shared" si="0"/>
        <v>3.75</v>
      </c>
      <c r="J10" s="3" t="s">
        <v>95</v>
      </c>
      <c r="K10" s="3" t="s">
        <v>96</v>
      </c>
      <c r="L10" s="3" t="s">
        <v>37</v>
      </c>
      <c r="M10" s="3" t="s">
        <v>65</v>
      </c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97</v>
      </c>
      <c r="B11" s="7">
        <v>46208</v>
      </c>
      <c r="C11" s="3" t="s">
        <v>67</v>
      </c>
      <c r="D11" s="3" t="s">
        <v>98</v>
      </c>
      <c r="E11" s="8">
        <v>4</v>
      </c>
      <c r="F11" s="8">
        <v>4</v>
      </c>
      <c r="G11" s="8">
        <v>4</v>
      </c>
      <c r="H11" s="8">
        <v>4</v>
      </c>
      <c r="I11" s="8">
        <f t="shared" si="0"/>
        <v>4</v>
      </c>
      <c r="J11" s="3" t="s">
        <v>99</v>
      </c>
      <c r="K11" s="3" t="s">
        <v>100</v>
      </c>
      <c r="L11" s="3" t="s">
        <v>46</v>
      </c>
      <c r="M11" s="3" t="s">
        <v>77</v>
      </c>
      <c r="N11" s="7">
        <v>46209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101</v>
      </c>
      <c r="B12" s="7">
        <v>46209</v>
      </c>
      <c r="C12" s="3" t="s">
        <v>72</v>
      </c>
      <c r="D12" s="3" t="s">
        <v>68</v>
      </c>
      <c r="E12" s="8">
        <v>3</v>
      </c>
      <c r="F12" s="8">
        <v>3</v>
      </c>
      <c r="G12" s="8">
        <v>3</v>
      </c>
      <c r="H12" s="8">
        <v>3</v>
      </c>
      <c r="I12" s="8">
        <f t="shared" si="0"/>
        <v>3</v>
      </c>
      <c r="J12" s="3" t="s">
        <v>102</v>
      </c>
      <c r="K12" s="3" t="s">
        <v>103</v>
      </c>
      <c r="L12" s="3" t="s">
        <v>37</v>
      </c>
      <c r="M12" s="3" t="s">
        <v>82</v>
      </c>
      <c r="N12" s="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104</v>
      </c>
      <c r="B13" s="7">
        <v>46209</v>
      </c>
      <c r="C13" s="3" t="s">
        <v>61</v>
      </c>
      <c r="D13" s="3" t="s">
        <v>73</v>
      </c>
      <c r="E13" s="8">
        <v>4</v>
      </c>
      <c r="F13" s="8">
        <v>4</v>
      </c>
      <c r="G13" s="8">
        <v>4</v>
      </c>
      <c r="H13" s="8">
        <v>4</v>
      </c>
      <c r="I13" s="8">
        <f t="shared" si="0"/>
        <v>4</v>
      </c>
      <c r="J13" s="3" t="s">
        <v>105</v>
      </c>
      <c r="K13" s="3" t="s">
        <v>106</v>
      </c>
      <c r="L13" s="3" t="s">
        <v>76</v>
      </c>
      <c r="M13" s="3" t="s">
        <v>77</v>
      </c>
      <c r="N13" s="7">
        <v>46210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/>
      <c r="B14" s="7"/>
      <c r="C14" s="3"/>
      <c r="D14" s="3"/>
      <c r="E14" s="8"/>
      <c r="F14" s="8"/>
      <c r="G14" s="8"/>
      <c r="H14" s="8"/>
      <c r="I14" s="8"/>
      <c r="J14" s="3"/>
      <c r="K14" s="3"/>
      <c r="L14" s="3"/>
      <c r="M14" s="3"/>
      <c r="N14" s="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/>
      <c r="B15" s="7"/>
      <c r="C15" s="3"/>
      <c r="D15" s="3"/>
      <c r="E15" s="8"/>
      <c r="F15" s="8"/>
      <c r="G15" s="8"/>
      <c r="H15" s="8"/>
      <c r="I15" s="8"/>
      <c r="J15" s="3"/>
      <c r="K15" s="3"/>
      <c r="L15" s="3"/>
      <c r="M15" s="3"/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7"/>
      <c r="C16" s="3"/>
      <c r="D16" s="3"/>
      <c r="E16" s="8"/>
      <c r="F16" s="8"/>
      <c r="G16" s="8"/>
      <c r="H16" s="8"/>
      <c r="I16" s="8"/>
      <c r="J16" s="3"/>
      <c r="K16" s="3"/>
      <c r="L16" s="3"/>
      <c r="M16" s="3"/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7"/>
      <c r="C17" s="3"/>
      <c r="D17" s="3"/>
      <c r="E17" s="8"/>
      <c r="F17" s="8"/>
      <c r="G17" s="8"/>
      <c r="H17" s="8"/>
      <c r="I17" s="8"/>
      <c r="J17" s="3"/>
      <c r="K17" s="3"/>
      <c r="L17" s="3"/>
      <c r="M17" s="3"/>
      <c r="N17" s="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/>
      <c r="B18" s="7"/>
      <c r="C18" s="3"/>
      <c r="D18" s="3"/>
      <c r="E18" s="8"/>
      <c r="F18" s="8"/>
      <c r="G18" s="8"/>
      <c r="H18" s="8"/>
      <c r="I18" s="8"/>
      <c r="J18" s="3"/>
      <c r="K18" s="3"/>
      <c r="L18" s="3"/>
      <c r="M18" s="3"/>
      <c r="N18" s="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/>
      <c r="B19" s="7"/>
      <c r="C19" s="3"/>
      <c r="D19" s="3"/>
      <c r="E19" s="8"/>
      <c r="F19" s="8"/>
      <c r="G19" s="8"/>
      <c r="H19" s="8"/>
      <c r="I19" s="8"/>
      <c r="J19" s="3"/>
      <c r="K19" s="3"/>
      <c r="L19" s="3"/>
      <c r="M19" s="3"/>
      <c r="N19" s="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/>
      <c r="B20" s="7"/>
      <c r="C20" s="3"/>
      <c r="D20" s="3"/>
      <c r="E20" s="8"/>
      <c r="F20" s="8"/>
      <c r="G20" s="8"/>
      <c r="H20" s="8"/>
      <c r="I20" s="8"/>
      <c r="J20" s="3"/>
      <c r="K20" s="3"/>
      <c r="L20" s="3"/>
      <c r="M20" s="3"/>
      <c r="N20" s="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/>
      <c r="B21" s="7"/>
      <c r="C21" s="3"/>
      <c r="D21" s="3"/>
      <c r="E21" s="8"/>
      <c r="F21" s="8"/>
      <c r="G21" s="8"/>
      <c r="H21" s="8"/>
      <c r="I21" s="8"/>
      <c r="J21" s="3"/>
      <c r="K21" s="3"/>
      <c r="L21" s="3"/>
      <c r="M21" s="3"/>
      <c r="N21" s="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/>
      <c r="B22" s="7"/>
      <c r="C22" s="3"/>
      <c r="D22" s="3"/>
      <c r="E22" s="8"/>
      <c r="F22" s="8"/>
      <c r="G22" s="8"/>
      <c r="H22" s="8"/>
      <c r="I22" s="8"/>
      <c r="J22" s="3"/>
      <c r="K22" s="3"/>
      <c r="L22" s="3"/>
      <c r="M22" s="3"/>
      <c r="N22" s="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/>
      <c r="B23" s="7"/>
      <c r="C23" s="3"/>
      <c r="D23" s="3"/>
      <c r="E23" s="8"/>
      <c r="F23" s="8"/>
      <c r="G23" s="8"/>
      <c r="H23" s="8"/>
      <c r="I23" s="8"/>
      <c r="J23" s="3"/>
      <c r="K23" s="3"/>
      <c r="L23" s="3"/>
      <c r="M23" s="3"/>
      <c r="N23" s="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/>
      <c r="B24" s="7"/>
      <c r="C24" s="3"/>
      <c r="D24" s="3"/>
      <c r="E24" s="8"/>
      <c r="F24" s="8"/>
      <c r="G24" s="8"/>
      <c r="H24" s="8"/>
      <c r="I24" s="8"/>
      <c r="J24" s="3"/>
      <c r="K24" s="3"/>
      <c r="L24" s="3"/>
      <c r="M24" s="3"/>
      <c r="N24" s="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/>
      <c r="B25" s="7"/>
      <c r="C25" s="3"/>
      <c r="D25" s="3"/>
      <c r="E25" s="8"/>
      <c r="F25" s="8"/>
      <c r="G25" s="8"/>
      <c r="H25" s="8"/>
      <c r="I25" s="8"/>
      <c r="J25" s="3"/>
      <c r="K25" s="3"/>
      <c r="L25" s="3"/>
      <c r="M25" s="3"/>
      <c r="N25" s="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/>
      <c r="B26" s="7"/>
      <c r="C26" s="3"/>
      <c r="D26" s="3"/>
      <c r="E26" s="8"/>
      <c r="F26" s="8"/>
      <c r="G26" s="8"/>
      <c r="H26" s="8"/>
      <c r="I26" s="8"/>
      <c r="J26" s="3"/>
      <c r="K26" s="3"/>
      <c r="L26" s="3"/>
      <c r="M26" s="3"/>
      <c r="N26" s="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/>
      <c r="B27" s="7"/>
      <c r="C27" s="3"/>
      <c r="D27" s="3"/>
      <c r="E27" s="8"/>
      <c r="F27" s="8"/>
      <c r="G27" s="8"/>
      <c r="H27" s="8"/>
      <c r="I27" s="8"/>
      <c r="J27" s="3"/>
      <c r="K27" s="3"/>
      <c r="L27" s="3"/>
      <c r="M27" s="3"/>
      <c r="N27" s="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/>
      <c r="B28" s="7"/>
      <c r="C28" s="3"/>
      <c r="D28" s="3"/>
      <c r="E28" s="8"/>
      <c r="F28" s="8"/>
      <c r="G28" s="8"/>
      <c r="H28" s="8"/>
      <c r="I28" s="8"/>
      <c r="J28" s="3"/>
      <c r="K28" s="3"/>
      <c r="L28" s="3"/>
      <c r="M28" s="3"/>
      <c r="N28" s="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/>
      <c r="B29" s="7"/>
      <c r="C29" s="3"/>
      <c r="D29" s="3"/>
      <c r="E29" s="8"/>
      <c r="F29" s="8"/>
      <c r="G29" s="8"/>
      <c r="H29" s="8"/>
      <c r="I29" s="8"/>
      <c r="J29" s="3"/>
      <c r="K29" s="3"/>
      <c r="L29" s="3"/>
      <c r="M29" s="3"/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/>
      <c r="B30" s="7"/>
      <c r="C30" s="3"/>
      <c r="D30" s="3"/>
      <c r="E30" s="8"/>
      <c r="F30" s="8"/>
      <c r="G30" s="8"/>
      <c r="H30" s="8"/>
      <c r="I30" s="8"/>
      <c r="J30" s="3"/>
      <c r="K30" s="3"/>
      <c r="L30" s="3"/>
      <c r="M30" s="3"/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/>
      <c r="B31" s="7"/>
      <c r="C31" s="3"/>
      <c r="D31" s="3"/>
      <c r="E31" s="8"/>
      <c r="F31" s="8"/>
      <c r="G31" s="8"/>
      <c r="H31" s="8"/>
      <c r="I31" s="8"/>
      <c r="J31" s="3"/>
      <c r="K31" s="3"/>
      <c r="L31" s="3"/>
      <c r="M31" s="3"/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/>
      <c r="B32" s="7"/>
      <c r="C32" s="3"/>
      <c r="D32" s="3"/>
      <c r="E32" s="8"/>
      <c r="F32" s="8"/>
      <c r="G32" s="8"/>
      <c r="H32" s="8"/>
      <c r="I32" s="8"/>
      <c r="J32" s="3"/>
      <c r="K32" s="3"/>
      <c r="L32" s="3"/>
      <c r="M32" s="3"/>
      <c r="N32" s="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/>
      <c r="B33" s="7"/>
      <c r="C33" s="3"/>
      <c r="D33" s="3"/>
      <c r="E33" s="8"/>
      <c r="F33" s="8"/>
      <c r="G33" s="8"/>
      <c r="H33" s="8"/>
      <c r="I33" s="8"/>
      <c r="J33" s="3"/>
      <c r="K33" s="3"/>
      <c r="L33" s="3"/>
      <c r="M33" s="3"/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/>
      <c r="B34" s="7"/>
      <c r="C34" s="3"/>
      <c r="D34" s="3"/>
      <c r="E34" s="8"/>
      <c r="F34" s="8"/>
      <c r="G34" s="8"/>
      <c r="H34" s="8"/>
      <c r="I34" s="8"/>
      <c r="J34" s="3"/>
      <c r="K34" s="3"/>
      <c r="L34" s="3"/>
      <c r="M34" s="3"/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/>
      <c r="B35" s="7"/>
      <c r="C35" s="3"/>
      <c r="D35" s="3"/>
      <c r="E35" s="8"/>
      <c r="F35" s="8"/>
      <c r="G35" s="8"/>
      <c r="H35" s="8"/>
      <c r="I35" s="8"/>
      <c r="J35" s="3"/>
      <c r="K35" s="3"/>
      <c r="L35" s="3"/>
      <c r="M35" s="3"/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/>
      <c r="B36" s="7"/>
      <c r="C36" s="3"/>
      <c r="D36" s="3"/>
      <c r="E36" s="8"/>
      <c r="F36" s="8"/>
      <c r="G36" s="8"/>
      <c r="H36" s="8"/>
      <c r="I36" s="8"/>
      <c r="J36" s="3"/>
      <c r="K36" s="3"/>
      <c r="L36" s="3"/>
      <c r="M36" s="3"/>
      <c r="N36" s="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/>
      <c r="B37" s="7"/>
      <c r="C37" s="3"/>
      <c r="D37" s="3"/>
      <c r="E37" s="8"/>
      <c r="F37" s="8"/>
      <c r="G37" s="8"/>
      <c r="H37" s="8"/>
      <c r="I37" s="8"/>
      <c r="J37" s="3"/>
      <c r="K37" s="3"/>
      <c r="L37" s="3"/>
      <c r="M37" s="3"/>
      <c r="N37" s="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/>
      <c r="B38" s="7"/>
      <c r="C38" s="3"/>
      <c r="D38" s="3"/>
      <c r="E38" s="8"/>
      <c r="F38" s="8"/>
      <c r="G38" s="8"/>
      <c r="H38" s="8"/>
      <c r="I38" s="8"/>
      <c r="J38" s="3"/>
      <c r="K38" s="3"/>
      <c r="L38" s="3"/>
      <c r="M38" s="3"/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3"/>
      <c r="B39" s="7"/>
      <c r="C39" s="3"/>
      <c r="D39" s="3"/>
      <c r="E39" s="8"/>
      <c r="F39" s="8"/>
      <c r="G39" s="8"/>
      <c r="H39" s="8"/>
      <c r="I39" s="8"/>
      <c r="J39" s="3"/>
      <c r="K39" s="3"/>
      <c r="L39" s="3"/>
      <c r="M39" s="3"/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3"/>
      <c r="B40" s="7"/>
      <c r="C40" s="3"/>
      <c r="D40" s="3"/>
      <c r="E40" s="8"/>
      <c r="F40" s="8"/>
      <c r="G40" s="8"/>
      <c r="H40" s="8"/>
      <c r="I40" s="8"/>
      <c r="J40" s="3"/>
      <c r="K40" s="3"/>
      <c r="L40" s="3"/>
      <c r="M40" s="3"/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3"/>
      <c r="B41" s="7"/>
      <c r="C41" s="3"/>
      <c r="D41" s="3"/>
      <c r="E41" s="8"/>
      <c r="F41" s="8"/>
      <c r="G41" s="8"/>
      <c r="H41" s="8"/>
      <c r="I41" s="8"/>
      <c r="J41" s="3"/>
      <c r="K41" s="3"/>
      <c r="L41" s="3"/>
      <c r="M41" s="3"/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3"/>
      <c r="B42" s="7"/>
      <c r="C42" s="3"/>
      <c r="D42" s="3"/>
      <c r="E42" s="8"/>
      <c r="F42" s="8"/>
      <c r="G42" s="8"/>
      <c r="H42" s="8"/>
      <c r="I42" s="8"/>
      <c r="J42" s="3"/>
      <c r="K42" s="3"/>
      <c r="L42" s="3"/>
      <c r="M42" s="3"/>
      <c r="N42" s="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3"/>
      <c r="B43" s="7"/>
      <c r="C43" s="3"/>
      <c r="D43" s="3"/>
      <c r="E43" s="8"/>
      <c r="F43" s="8"/>
      <c r="G43" s="8"/>
      <c r="H43" s="8"/>
      <c r="I43" s="8"/>
      <c r="J43" s="3"/>
      <c r="K43" s="3"/>
      <c r="L43" s="3"/>
      <c r="M43" s="3"/>
      <c r="N43" s="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3"/>
      <c r="B44" s="7"/>
      <c r="C44" s="3"/>
      <c r="D44" s="3"/>
      <c r="E44" s="8"/>
      <c r="F44" s="8"/>
      <c r="G44" s="8"/>
      <c r="H44" s="8"/>
      <c r="I44" s="8"/>
      <c r="J44" s="3"/>
      <c r="K44" s="3"/>
      <c r="L44" s="3"/>
      <c r="M44" s="3"/>
      <c r="N44" s="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3"/>
      <c r="B45" s="7"/>
      <c r="C45" s="3"/>
      <c r="D45" s="3"/>
      <c r="E45" s="8"/>
      <c r="F45" s="8"/>
      <c r="G45" s="8"/>
      <c r="H45" s="8"/>
      <c r="I45" s="8"/>
      <c r="J45" s="3"/>
      <c r="K45" s="3"/>
      <c r="L45" s="3"/>
      <c r="M45" s="3"/>
      <c r="N45" s="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3"/>
      <c r="B46" s="7"/>
      <c r="C46" s="3"/>
      <c r="D46" s="3"/>
      <c r="E46" s="8"/>
      <c r="F46" s="8"/>
      <c r="G46" s="8"/>
      <c r="H46" s="8"/>
      <c r="I46" s="8"/>
      <c r="J46" s="3"/>
      <c r="K46" s="3"/>
      <c r="L46" s="3"/>
      <c r="M46" s="3"/>
      <c r="N46" s="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3"/>
      <c r="B47" s="7"/>
      <c r="C47" s="3"/>
      <c r="D47" s="3"/>
      <c r="E47" s="8"/>
      <c r="F47" s="8"/>
      <c r="G47" s="8"/>
      <c r="H47" s="8"/>
      <c r="I47" s="8"/>
      <c r="J47" s="3"/>
      <c r="K47" s="3"/>
      <c r="L47" s="3"/>
      <c r="M47" s="3"/>
      <c r="N47" s="7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3"/>
      <c r="B48" s="7"/>
      <c r="C48" s="3"/>
      <c r="D48" s="3"/>
      <c r="E48" s="8"/>
      <c r="F48" s="8"/>
      <c r="G48" s="8"/>
      <c r="H48" s="8"/>
      <c r="I48" s="8"/>
      <c r="J48" s="3"/>
      <c r="K48" s="3"/>
      <c r="L48" s="3"/>
      <c r="M48" s="3"/>
      <c r="N48" s="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3"/>
      <c r="B49" s="7"/>
      <c r="C49" s="3"/>
      <c r="D49" s="3"/>
      <c r="E49" s="8"/>
      <c r="F49" s="8"/>
      <c r="G49" s="8"/>
      <c r="H49" s="8"/>
      <c r="I49" s="8"/>
      <c r="J49" s="3"/>
      <c r="K49" s="3"/>
      <c r="L49" s="3"/>
      <c r="M49" s="3"/>
      <c r="N49" s="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3"/>
      <c r="B50" s="7"/>
      <c r="C50" s="3"/>
      <c r="D50" s="3"/>
      <c r="E50" s="8"/>
      <c r="F50" s="8"/>
      <c r="G50" s="8"/>
      <c r="H50" s="8"/>
      <c r="I50" s="8"/>
      <c r="J50" s="3"/>
      <c r="K50" s="3"/>
      <c r="L50" s="3"/>
      <c r="M50" s="3"/>
      <c r="N50" s="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3"/>
      <c r="B51" s="7"/>
      <c r="C51" s="3"/>
      <c r="D51" s="3"/>
      <c r="E51" s="8"/>
      <c r="F51" s="8"/>
      <c r="G51" s="8"/>
      <c r="H51" s="8"/>
      <c r="I51" s="8"/>
      <c r="J51" s="3"/>
      <c r="K51" s="3"/>
      <c r="L51" s="3"/>
      <c r="M51" s="3"/>
      <c r="N51" s="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3"/>
      <c r="B52" s="7"/>
      <c r="C52" s="3"/>
      <c r="D52" s="3"/>
      <c r="E52" s="8"/>
      <c r="F52" s="8"/>
      <c r="G52" s="8"/>
      <c r="H52" s="8"/>
      <c r="I52" s="8"/>
      <c r="J52" s="3"/>
      <c r="K52" s="3"/>
      <c r="L52" s="3"/>
      <c r="M52" s="3"/>
      <c r="N52" s="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3"/>
      <c r="B53" s="7"/>
      <c r="C53" s="3"/>
      <c r="D53" s="3"/>
      <c r="E53" s="8"/>
      <c r="F53" s="8"/>
      <c r="G53" s="8"/>
      <c r="H53" s="8"/>
      <c r="I53" s="8"/>
      <c r="J53" s="3"/>
      <c r="K53" s="3"/>
      <c r="L53" s="3"/>
      <c r="M53" s="3"/>
      <c r="N53" s="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3"/>
      <c r="B54" s="7"/>
      <c r="C54" s="3"/>
      <c r="D54" s="3"/>
      <c r="E54" s="8"/>
      <c r="F54" s="8"/>
      <c r="G54" s="8"/>
      <c r="H54" s="8"/>
      <c r="I54" s="8"/>
      <c r="J54" s="3"/>
      <c r="K54" s="3"/>
      <c r="L54" s="3"/>
      <c r="M54" s="3"/>
      <c r="N54" s="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3"/>
      <c r="B55" s="7"/>
      <c r="C55" s="3"/>
      <c r="D55" s="3"/>
      <c r="E55" s="8"/>
      <c r="F55" s="8"/>
      <c r="G55" s="8"/>
      <c r="H55" s="8"/>
      <c r="I55" s="8"/>
      <c r="J55" s="3"/>
      <c r="K55" s="3"/>
      <c r="L55" s="3"/>
      <c r="M55" s="3"/>
      <c r="N55" s="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3"/>
      <c r="B56" s="7"/>
      <c r="C56" s="3"/>
      <c r="D56" s="3"/>
      <c r="E56" s="8"/>
      <c r="F56" s="8"/>
      <c r="G56" s="8"/>
      <c r="H56" s="8"/>
      <c r="I56" s="8"/>
      <c r="J56" s="3"/>
      <c r="K56" s="3"/>
      <c r="L56" s="3"/>
      <c r="M56" s="3"/>
      <c r="N56" s="7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3"/>
      <c r="B57" s="7"/>
      <c r="C57" s="3"/>
      <c r="D57" s="3"/>
      <c r="E57" s="8"/>
      <c r="F57" s="8"/>
      <c r="G57" s="8"/>
      <c r="H57" s="8"/>
      <c r="I57" s="8"/>
      <c r="J57" s="3"/>
      <c r="K57" s="3"/>
      <c r="L57" s="3"/>
      <c r="M57" s="3"/>
      <c r="N57" s="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3"/>
      <c r="B58" s="7"/>
      <c r="C58" s="3"/>
      <c r="D58" s="3"/>
      <c r="E58" s="8"/>
      <c r="F58" s="8"/>
      <c r="G58" s="8"/>
      <c r="H58" s="8"/>
      <c r="I58" s="8"/>
      <c r="J58" s="3"/>
      <c r="K58" s="3"/>
      <c r="L58" s="3"/>
      <c r="M58" s="3"/>
      <c r="N58" s="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3"/>
      <c r="B59" s="7"/>
      <c r="C59" s="3"/>
      <c r="D59" s="3"/>
      <c r="E59" s="8"/>
      <c r="F59" s="8"/>
      <c r="G59" s="8"/>
      <c r="H59" s="8"/>
      <c r="I59" s="8"/>
      <c r="J59" s="3"/>
      <c r="K59" s="3"/>
      <c r="L59" s="3"/>
      <c r="M59" s="3"/>
      <c r="N59" s="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3"/>
      <c r="B60" s="7"/>
      <c r="C60" s="3"/>
      <c r="D60" s="3"/>
      <c r="E60" s="8"/>
      <c r="F60" s="8"/>
      <c r="G60" s="8"/>
      <c r="H60" s="8"/>
      <c r="I60" s="8"/>
      <c r="J60" s="3"/>
      <c r="K60" s="3"/>
      <c r="L60" s="3"/>
      <c r="M60" s="3"/>
      <c r="N60" s="7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N1"/>
  </mergeCells>
  <conditionalFormatting sqref="I4:I60">
    <cfRule type="colorScale" priority="1">
      <colorScale>
        <cfvo type="min"/>
        <cfvo type="percentile" val="50"/>
        <cfvo type="max"/>
        <color rgb="FFFCE7E7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'Validation Lists'!$H$2:$H$5</xm:f>
          </x14:formula1>
          <xm:sqref>C4:C60</xm:sqref>
        </x14:dataValidation>
        <x14:dataValidation type="list" xr:uid="{00000000-0002-0000-0100-000001000000}">
          <x14:formula1>
            <xm:f>'Validation Lists'!$C$2:$C$8</xm:f>
          </x14:formula1>
          <xm:sqref>D4:D60</xm:sqref>
        </x14:dataValidation>
        <x14:dataValidation type="list" xr:uid="{00000000-0002-0000-0100-000002000000}">
          <x14:formula1>
            <xm:f>'Validation Lists'!$E$2:$E$8</xm:f>
          </x14:formula1>
          <xm:sqref>L4:L60</xm:sqref>
        </x14:dataValidation>
        <x14:dataValidation type="list" xr:uid="{00000000-0002-0000-0100-000003000000}">
          <x14:formula1>
            <xm:f>'Validation Lists'!$A$2:$A$6</xm:f>
          </x14:formula1>
          <xm:sqref>M4:M60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selection sqref="A1:I1"/>
    </sheetView>
  </sheetViews>
  <sheetFormatPr defaultRowHeight="13.8"/>
  <cols>
    <col min="1" max="1" width="32" customWidth="1"/>
    <col min="2" max="2" width="9.59765625" customWidth="1"/>
    <col min="3" max="5" width="9.69921875" customWidth="1"/>
    <col min="6" max="6" width="7.69921875" customWidth="1"/>
    <col min="7" max="7" width="14.3984375" customWidth="1"/>
    <col min="8" max="8" width="7.69921875" customWidth="1"/>
    <col min="9" max="9" width="22.8984375" customWidth="1"/>
  </cols>
  <sheetData>
    <row r="1" spans="1:26" ht="24" customHeight="1">
      <c r="A1" s="17" t="s">
        <v>107</v>
      </c>
      <c r="B1" s="18"/>
      <c r="C1" s="18"/>
      <c r="D1" s="18"/>
      <c r="E1" s="18"/>
      <c r="F1" s="18"/>
      <c r="G1" s="18"/>
      <c r="H1" s="18"/>
      <c r="I1" s="1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2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4</v>
      </c>
      <c r="G3" s="2" t="s">
        <v>112</v>
      </c>
      <c r="H3" s="2" t="s">
        <v>27</v>
      </c>
      <c r="I3" s="2" t="s">
        <v>29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9</v>
      </c>
      <c r="B4" s="4">
        <v>18</v>
      </c>
      <c r="C4" s="4">
        <v>16</v>
      </c>
      <c r="D4" s="4">
        <v>13</v>
      </c>
      <c r="E4" s="4">
        <v>10</v>
      </c>
      <c r="F4" s="4">
        <v>10</v>
      </c>
      <c r="G4" s="1" t="s">
        <v>113</v>
      </c>
      <c r="H4" s="1" t="str">
        <f t="shared" ref="H4:H9" si="0">IF(G4="Higher is Better",IF(E4&gt;=F4,"On Track","Action Needed"),IF(E4&lt;=F4,"On Track","Action Needed"))</f>
        <v>On Track</v>
      </c>
      <c r="I4" s="1" t="s">
        <v>34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12</v>
      </c>
      <c r="B5" s="6">
        <v>0.78</v>
      </c>
      <c r="C5" s="6">
        <v>0.82</v>
      </c>
      <c r="D5" s="6">
        <v>0.86</v>
      </c>
      <c r="E5" s="6">
        <v>0.9</v>
      </c>
      <c r="F5" s="6">
        <v>0.9</v>
      </c>
      <c r="G5" s="1" t="s">
        <v>114</v>
      </c>
      <c r="H5" s="1" t="str">
        <f t="shared" si="0"/>
        <v>On Track</v>
      </c>
      <c r="I5" s="1" t="s">
        <v>40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15</v>
      </c>
      <c r="B6" s="6">
        <v>0.85</v>
      </c>
      <c r="C6" s="6">
        <v>0.9</v>
      </c>
      <c r="D6" s="6">
        <v>0.94</v>
      </c>
      <c r="E6" s="6">
        <v>0.97</v>
      </c>
      <c r="F6" s="6">
        <v>0.97</v>
      </c>
      <c r="G6" s="1" t="s">
        <v>114</v>
      </c>
      <c r="H6" s="1" t="str">
        <f t="shared" si="0"/>
        <v>On Track</v>
      </c>
      <c r="I6" s="1" t="s">
        <v>37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18</v>
      </c>
      <c r="B7" s="6">
        <v>0.7</v>
      </c>
      <c r="C7" s="6">
        <v>0.78</v>
      </c>
      <c r="D7" s="6">
        <v>0.88</v>
      </c>
      <c r="E7" s="6">
        <v>0.95</v>
      </c>
      <c r="F7" s="6">
        <v>0.95</v>
      </c>
      <c r="G7" s="1" t="s">
        <v>114</v>
      </c>
      <c r="H7" s="1" t="str">
        <f t="shared" si="0"/>
        <v>On Track</v>
      </c>
      <c r="I7" s="1" t="s">
        <v>91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22</v>
      </c>
      <c r="B8" s="6">
        <v>0.8</v>
      </c>
      <c r="C8" s="6">
        <v>0.86</v>
      </c>
      <c r="D8" s="6">
        <v>0.91</v>
      </c>
      <c r="E8" s="6">
        <v>0.95</v>
      </c>
      <c r="F8" s="6">
        <v>0.95</v>
      </c>
      <c r="G8" s="1" t="s">
        <v>114</v>
      </c>
      <c r="H8" s="1" t="str">
        <f t="shared" si="0"/>
        <v>On Track</v>
      </c>
      <c r="I8" s="1" t="s">
        <v>76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23</v>
      </c>
      <c r="B9" s="6">
        <v>0.12</v>
      </c>
      <c r="C9" s="6">
        <v>0.1</v>
      </c>
      <c r="D9" s="6">
        <v>0.08</v>
      </c>
      <c r="E9" s="6">
        <v>7.0000000000000007E-2</v>
      </c>
      <c r="F9" s="6">
        <v>7.0000000000000007E-2</v>
      </c>
      <c r="G9" s="1" t="s">
        <v>113</v>
      </c>
      <c r="H9" s="1" t="str">
        <f t="shared" si="0"/>
        <v>On Track</v>
      </c>
      <c r="I9" s="1" t="s">
        <v>37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I1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'Validation Lists'!$G$2:$G$3</xm:f>
          </x14:formula1>
          <xm:sqref>G4:G40</xm:sqref>
        </x14:dataValidation>
        <x14:dataValidation type="list" xr:uid="{00000000-0002-0000-0200-000001000000}">
          <x14:formula1>
            <xm:f>'Validation Lists'!$E$2:$E$8</xm:f>
          </x14:formula1>
          <xm:sqref>I4:I40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>
      <selection sqref="A1:I1"/>
    </sheetView>
  </sheetViews>
  <sheetFormatPr defaultRowHeight="13.8"/>
  <cols>
    <col min="1" max="1" width="52.8984375" customWidth="1"/>
    <col min="2" max="2" width="8.19921875" customWidth="1"/>
    <col min="3" max="3" width="38" customWidth="1"/>
    <col min="4" max="5" width="11.19921875" bestFit="1" customWidth="1"/>
    <col min="6" max="6" width="21.3984375" customWidth="1"/>
    <col min="7" max="7" width="30" customWidth="1"/>
    <col min="8" max="8" width="11.296875" customWidth="1"/>
    <col min="9" max="9" width="9.59765625" customWidth="1"/>
  </cols>
  <sheetData>
    <row r="1" spans="1:26" ht="24" customHeight="1">
      <c r="A1" s="17" t="s">
        <v>115</v>
      </c>
      <c r="B1" s="18"/>
      <c r="C1" s="18"/>
      <c r="D1" s="18"/>
      <c r="E1" s="18"/>
      <c r="F1" s="18"/>
      <c r="G1" s="18"/>
      <c r="H1" s="18"/>
      <c r="I1" s="1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29</v>
      </c>
      <c r="G3" s="2" t="s">
        <v>121</v>
      </c>
      <c r="H3" s="2" t="s">
        <v>27</v>
      </c>
      <c r="I3" s="2" t="s">
        <v>122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3" t="s">
        <v>123</v>
      </c>
      <c r="B4" s="3" t="s">
        <v>109</v>
      </c>
      <c r="C4" s="3" t="s">
        <v>124</v>
      </c>
      <c r="D4" s="7">
        <v>46204</v>
      </c>
      <c r="E4" s="7">
        <v>46210</v>
      </c>
      <c r="F4" s="3" t="s">
        <v>40</v>
      </c>
      <c r="G4" s="3" t="s">
        <v>125</v>
      </c>
      <c r="H4" s="3" t="s">
        <v>77</v>
      </c>
      <c r="I4" s="9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3" t="s">
        <v>123</v>
      </c>
      <c r="B5" s="3" t="s">
        <v>109</v>
      </c>
      <c r="C5" s="3" t="s">
        <v>126</v>
      </c>
      <c r="D5" s="7">
        <v>46204</v>
      </c>
      <c r="E5" s="7">
        <v>46213</v>
      </c>
      <c r="F5" s="3" t="s">
        <v>34</v>
      </c>
      <c r="G5" s="3" t="s">
        <v>127</v>
      </c>
      <c r="H5" s="3" t="s">
        <v>77</v>
      </c>
      <c r="I5" s="9">
        <v>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3" t="s">
        <v>128</v>
      </c>
      <c r="B6" s="3" t="s">
        <v>110</v>
      </c>
      <c r="C6" s="3" t="s">
        <v>129</v>
      </c>
      <c r="D6" s="7">
        <v>46218</v>
      </c>
      <c r="E6" s="7">
        <v>46239</v>
      </c>
      <c r="F6" s="3" t="s">
        <v>76</v>
      </c>
      <c r="G6" s="3" t="s">
        <v>130</v>
      </c>
      <c r="H6" s="3" t="s">
        <v>65</v>
      </c>
      <c r="I6" s="9">
        <v>0.65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3" t="s">
        <v>128</v>
      </c>
      <c r="B7" s="3" t="s">
        <v>110</v>
      </c>
      <c r="C7" s="3" t="s">
        <v>131</v>
      </c>
      <c r="D7" s="7">
        <v>46223</v>
      </c>
      <c r="E7" s="7">
        <v>46244</v>
      </c>
      <c r="F7" s="3" t="s">
        <v>37</v>
      </c>
      <c r="G7" s="3" t="s">
        <v>132</v>
      </c>
      <c r="H7" s="3" t="s">
        <v>65</v>
      </c>
      <c r="I7" s="9">
        <v>0.55000000000000004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3" t="s">
        <v>133</v>
      </c>
      <c r="B8" s="3" t="s">
        <v>111</v>
      </c>
      <c r="C8" s="3" t="s">
        <v>134</v>
      </c>
      <c r="D8" s="7">
        <v>46235</v>
      </c>
      <c r="E8" s="7">
        <v>46254</v>
      </c>
      <c r="F8" s="3" t="s">
        <v>43</v>
      </c>
      <c r="G8" s="3" t="s">
        <v>135</v>
      </c>
      <c r="H8" s="3" t="s">
        <v>82</v>
      </c>
      <c r="I8" s="9">
        <v>0.2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3" t="s">
        <v>136</v>
      </c>
      <c r="B9" s="3" t="s">
        <v>111</v>
      </c>
      <c r="C9" s="3" t="s">
        <v>137</v>
      </c>
      <c r="D9" s="7">
        <v>46249</v>
      </c>
      <c r="E9" s="7">
        <v>46265</v>
      </c>
      <c r="F9" s="3" t="s">
        <v>46</v>
      </c>
      <c r="G9" s="3" t="s">
        <v>138</v>
      </c>
      <c r="H9" s="3" t="s">
        <v>82</v>
      </c>
      <c r="I9" s="9">
        <v>0.1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/>
      <c r="B10" s="3"/>
      <c r="C10" s="3"/>
      <c r="D10" s="7"/>
      <c r="E10" s="7"/>
      <c r="F10" s="3"/>
      <c r="G10" s="3"/>
      <c r="H10" s="3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/>
      <c r="B11" s="3"/>
      <c r="C11" s="3"/>
      <c r="D11" s="7"/>
      <c r="E11" s="7"/>
      <c r="F11" s="3"/>
      <c r="G11" s="3"/>
      <c r="H11" s="3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/>
      <c r="B12" s="3"/>
      <c r="C12" s="3"/>
      <c r="D12" s="7"/>
      <c r="E12" s="7"/>
      <c r="F12" s="3"/>
      <c r="G12" s="3"/>
      <c r="H12" s="3"/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/>
      <c r="B13" s="3"/>
      <c r="C13" s="3"/>
      <c r="D13" s="7"/>
      <c r="E13" s="7"/>
      <c r="F13" s="3"/>
      <c r="G13" s="3"/>
      <c r="H13" s="3"/>
      <c r="I13" s="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/>
      <c r="B14" s="3"/>
      <c r="C14" s="3"/>
      <c r="D14" s="7"/>
      <c r="E14" s="7"/>
      <c r="F14" s="3"/>
      <c r="G14" s="3"/>
      <c r="H14" s="3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/>
      <c r="B15" s="3"/>
      <c r="C15" s="3"/>
      <c r="D15" s="7"/>
      <c r="E15" s="7"/>
      <c r="F15" s="3"/>
      <c r="G15" s="3"/>
      <c r="H15" s="3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7"/>
      <c r="E16" s="7"/>
      <c r="F16" s="3"/>
      <c r="G16" s="3"/>
      <c r="H16" s="3"/>
      <c r="I16" s="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7"/>
      <c r="E17" s="7"/>
      <c r="F17" s="3"/>
      <c r="G17" s="3"/>
      <c r="H17" s="3"/>
      <c r="I17" s="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/>
      <c r="B18" s="3"/>
      <c r="C18" s="3"/>
      <c r="D18" s="7"/>
      <c r="E18" s="7"/>
      <c r="F18" s="3"/>
      <c r="G18" s="3"/>
      <c r="H18" s="3"/>
      <c r="I18" s="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/>
      <c r="B19" s="3"/>
      <c r="C19" s="3"/>
      <c r="D19" s="7"/>
      <c r="E19" s="7"/>
      <c r="F19" s="3"/>
      <c r="G19" s="3"/>
      <c r="H19" s="3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/>
      <c r="B20" s="3"/>
      <c r="C20" s="3"/>
      <c r="D20" s="7"/>
      <c r="E20" s="7"/>
      <c r="F20" s="3"/>
      <c r="G20" s="3"/>
      <c r="H20" s="3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/>
      <c r="B21" s="3"/>
      <c r="C21" s="3"/>
      <c r="D21" s="7"/>
      <c r="E21" s="7"/>
      <c r="F21" s="3"/>
      <c r="G21" s="3"/>
      <c r="H21" s="3"/>
      <c r="I21" s="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/>
      <c r="B22" s="3"/>
      <c r="C22" s="3"/>
      <c r="D22" s="7"/>
      <c r="E22" s="7"/>
      <c r="F22" s="3"/>
      <c r="G22" s="3"/>
      <c r="H22" s="3"/>
      <c r="I22" s="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/>
      <c r="B23" s="3"/>
      <c r="C23" s="3"/>
      <c r="D23" s="7"/>
      <c r="E23" s="7"/>
      <c r="F23" s="3"/>
      <c r="G23" s="3"/>
      <c r="H23" s="3"/>
      <c r="I23" s="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/>
      <c r="B24" s="3"/>
      <c r="C24" s="3"/>
      <c r="D24" s="7"/>
      <c r="E24" s="7"/>
      <c r="F24" s="3"/>
      <c r="G24" s="3"/>
      <c r="H24" s="3"/>
      <c r="I24" s="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/>
      <c r="B25" s="3"/>
      <c r="C25" s="3"/>
      <c r="D25" s="7"/>
      <c r="E25" s="7"/>
      <c r="F25" s="3"/>
      <c r="G25" s="3"/>
      <c r="H25" s="3"/>
      <c r="I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/>
      <c r="B26" s="3"/>
      <c r="C26" s="3"/>
      <c r="D26" s="7"/>
      <c r="E26" s="7"/>
      <c r="F26" s="3"/>
      <c r="G26" s="3"/>
      <c r="H26" s="3"/>
      <c r="I26" s="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/>
      <c r="B27" s="3"/>
      <c r="C27" s="3"/>
      <c r="D27" s="7"/>
      <c r="E27" s="7"/>
      <c r="F27" s="3"/>
      <c r="G27" s="3"/>
      <c r="H27" s="3"/>
      <c r="I27" s="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/>
      <c r="B28" s="3"/>
      <c r="C28" s="3"/>
      <c r="D28" s="7"/>
      <c r="E28" s="7"/>
      <c r="F28" s="3"/>
      <c r="G28" s="3"/>
      <c r="H28" s="3"/>
      <c r="I28" s="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/>
      <c r="B29" s="3"/>
      <c r="C29" s="3"/>
      <c r="D29" s="7"/>
      <c r="E29" s="7"/>
      <c r="F29" s="3"/>
      <c r="G29" s="3"/>
      <c r="H29" s="3"/>
      <c r="I29" s="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/>
      <c r="B30" s="3"/>
      <c r="C30" s="3"/>
      <c r="D30" s="7"/>
      <c r="E30" s="7"/>
      <c r="F30" s="3"/>
      <c r="G30" s="3"/>
      <c r="H30" s="3"/>
      <c r="I30" s="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/>
      <c r="B31" s="3"/>
      <c r="C31" s="3"/>
      <c r="D31" s="7"/>
      <c r="E31" s="7"/>
      <c r="F31" s="3"/>
      <c r="G31" s="3"/>
      <c r="H31" s="3"/>
      <c r="I31" s="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/>
      <c r="B32" s="3"/>
      <c r="C32" s="3"/>
      <c r="D32" s="7"/>
      <c r="E32" s="7"/>
      <c r="F32" s="3"/>
      <c r="G32" s="3"/>
      <c r="H32" s="3"/>
      <c r="I32" s="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/>
      <c r="B33" s="3"/>
      <c r="C33" s="3"/>
      <c r="D33" s="7"/>
      <c r="E33" s="7"/>
      <c r="F33" s="3"/>
      <c r="G33" s="3"/>
      <c r="H33" s="3"/>
      <c r="I33" s="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/>
      <c r="B34" s="3"/>
      <c r="C34" s="3"/>
      <c r="D34" s="7"/>
      <c r="E34" s="7"/>
      <c r="F34" s="3"/>
      <c r="G34" s="3"/>
      <c r="H34" s="3"/>
      <c r="I34" s="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/>
      <c r="B35" s="3"/>
      <c r="C35" s="3"/>
      <c r="D35" s="7"/>
      <c r="E35" s="7"/>
      <c r="F35" s="3"/>
      <c r="G35" s="3"/>
      <c r="H35" s="3"/>
      <c r="I35" s="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/>
      <c r="B36" s="3"/>
      <c r="C36" s="3"/>
      <c r="D36" s="7"/>
      <c r="E36" s="7"/>
      <c r="F36" s="3"/>
      <c r="G36" s="3"/>
      <c r="H36" s="3"/>
      <c r="I36" s="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/>
      <c r="B37" s="3"/>
      <c r="C37" s="3"/>
      <c r="D37" s="7"/>
      <c r="E37" s="7"/>
      <c r="F37" s="3"/>
      <c r="G37" s="3"/>
      <c r="H37" s="3"/>
      <c r="I37" s="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/>
      <c r="B38" s="3"/>
      <c r="C38" s="3"/>
      <c r="D38" s="7"/>
      <c r="E38" s="7"/>
      <c r="F38" s="3"/>
      <c r="G38" s="3"/>
      <c r="H38" s="3"/>
      <c r="I38" s="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3"/>
      <c r="B39" s="3"/>
      <c r="C39" s="3"/>
      <c r="D39" s="7"/>
      <c r="E39" s="7"/>
      <c r="F39" s="3"/>
      <c r="G39" s="3"/>
      <c r="H39" s="3"/>
      <c r="I39" s="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3"/>
      <c r="B40" s="3"/>
      <c r="C40" s="3"/>
      <c r="D40" s="7"/>
      <c r="E40" s="7"/>
      <c r="F40" s="3"/>
      <c r="G40" s="3"/>
      <c r="H40" s="3"/>
      <c r="I40" s="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I1"/>
  </mergeCells>
  <conditionalFormatting sqref="I4:I40">
    <cfRule type="dataBar" priority="1">
      <dataBar>
        <cfvo type="min"/>
        <cfvo type="max"/>
        <color rgb="FF1F7A8C"/>
      </dataBar>
    </cfRule>
    <cfRule type="dataBar" priority="2">
      <dataBar>
        <cfvo type="min"/>
        <cfvo type="max"/>
        <color rgb="FF1F7A8C"/>
      </dataBar>
      <extLst>
        <ext xmlns:x14="http://schemas.microsoft.com/office/spreadsheetml/2009/9/main" uri="{B025F937-C7B1-47D3-B67F-A62EFF666E3E}">
          <x14:id>{2EF556D9-1BAC-763C-4E4F-FD03890E1920}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F556D9-1BAC-763C-4E4F-FD03890E1920}">
            <x14:dataBar>
              <x14:cfvo type="min"/>
              <x14:cfvo type="max"/>
              <x14:negativeFillColor auto="1"/>
              <x14:axisColor auto="1"/>
            </x14:dataBar>
          </x14:cfRule>
          <xm:sqref>I4:I40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'Validation Lists'!$A$2:$A$6</xm:f>
          </x14:formula1>
          <xm:sqref>H4:H40</xm:sqref>
        </x14:dataValidation>
        <x14:dataValidation type="list" xr:uid="{00000000-0002-0000-0300-000001000000}">
          <x14:formula1>
            <xm:f>'Validation Lists'!$E$2:$E$8</xm:f>
          </x14:formula1>
          <xm:sqref>F4:F40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>
      <selection sqref="A1:H1"/>
    </sheetView>
  </sheetViews>
  <sheetFormatPr defaultRowHeight="13.8"/>
  <cols>
    <col min="1" max="1" width="32" customWidth="1"/>
    <col min="2" max="2" width="12.59765625" customWidth="1"/>
    <col min="3" max="3" width="13.296875" customWidth="1"/>
    <col min="4" max="4" width="11.796875" customWidth="1"/>
    <col min="5" max="5" width="9.69921875" customWidth="1"/>
    <col min="6" max="6" width="22.8984375" customWidth="1"/>
    <col min="7" max="7" width="11.296875" customWidth="1"/>
    <col min="8" max="8" width="38" customWidth="1"/>
  </cols>
  <sheetData>
    <row r="1" spans="1:26" ht="24" customHeight="1">
      <c r="A1" s="17" t="s">
        <v>139</v>
      </c>
      <c r="B1" s="18"/>
      <c r="C1" s="18"/>
      <c r="D1" s="18"/>
      <c r="E1" s="18"/>
      <c r="F1" s="18"/>
      <c r="G1" s="18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140</v>
      </c>
      <c r="B3" s="2" t="s">
        <v>141</v>
      </c>
      <c r="C3" s="2" t="s">
        <v>142</v>
      </c>
      <c r="D3" s="2" t="s">
        <v>143</v>
      </c>
      <c r="E3" s="2" t="s">
        <v>16</v>
      </c>
      <c r="F3" s="2" t="s">
        <v>29</v>
      </c>
      <c r="G3" s="2" t="s">
        <v>27</v>
      </c>
      <c r="H3" s="2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144</v>
      </c>
      <c r="B4" s="3" t="s">
        <v>145</v>
      </c>
      <c r="C4" s="5">
        <v>3000</v>
      </c>
      <c r="D4" s="5">
        <v>2800</v>
      </c>
      <c r="E4" s="5">
        <f>C4-D4</f>
        <v>200</v>
      </c>
      <c r="F4" s="3" t="s">
        <v>43</v>
      </c>
      <c r="G4" s="3" t="s">
        <v>65</v>
      </c>
      <c r="H4" s="3" t="s">
        <v>146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147</v>
      </c>
      <c r="B5" s="3" t="s">
        <v>148</v>
      </c>
      <c r="C5" s="5">
        <v>500</v>
      </c>
      <c r="D5" s="5">
        <v>450</v>
      </c>
      <c r="E5" s="5">
        <f>C5-D5</f>
        <v>50</v>
      </c>
      <c r="F5" s="3" t="s">
        <v>40</v>
      </c>
      <c r="G5" s="3" t="s">
        <v>77</v>
      </c>
      <c r="H5" s="3" t="s">
        <v>149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150</v>
      </c>
      <c r="B6" s="3" t="s">
        <v>148</v>
      </c>
      <c r="C6" s="5">
        <v>1000</v>
      </c>
      <c r="D6" s="5">
        <v>950</v>
      </c>
      <c r="E6" s="5">
        <f>C6-D6</f>
        <v>50</v>
      </c>
      <c r="F6" s="3" t="s">
        <v>34</v>
      </c>
      <c r="G6" s="3" t="s">
        <v>65</v>
      </c>
      <c r="H6" s="3" t="s">
        <v>151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3" t="s">
        <v>152</v>
      </c>
      <c r="B7" s="3" t="s">
        <v>153</v>
      </c>
      <c r="C7" s="5">
        <v>1200</v>
      </c>
      <c r="D7" s="5">
        <v>1100</v>
      </c>
      <c r="E7" s="5">
        <f>C7-D7</f>
        <v>100</v>
      </c>
      <c r="F7" s="3" t="s">
        <v>37</v>
      </c>
      <c r="G7" s="3" t="s">
        <v>65</v>
      </c>
      <c r="H7" s="3" t="s">
        <v>154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3" t="s">
        <v>155</v>
      </c>
      <c r="B8" s="3" t="s">
        <v>153</v>
      </c>
      <c r="C8" s="5">
        <v>800</v>
      </c>
      <c r="D8" s="5">
        <v>700</v>
      </c>
      <c r="E8" s="5">
        <f>C8-D8</f>
        <v>100</v>
      </c>
      <c r="F8" s="3" t="s">
        <v>91</v>
      </c>
      <c r="G8" s="3" t="s">
        <v>82</v>
      </c>
      <c r="H8" s="3" t="s">
        <v>156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 t="s">
        <v>157</v>
      </c>
      <c r="B9" s="10"/>
      <c r="C9" s="11">
        <f>SUM(C4:C8)</f>
        <v>6500</v>
      </c>
      <c r="D9" s="11">
        <f>SUM(D4:D8)</f>
        <v>6000</v>
      </c>
      <c r="E9" s="11">
        <f>SUM(E4:E8)</f>
        <v>500</v>
      </c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/>
      <c r="B10" s="3"/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/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/>
      <c r="B13" s="3"/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/>
      <c r="B14" s="3"/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/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/>
      <c r="B19" s="3"/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/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/>
      <c r="B24" s="3"/>
      <c r="C24" s="3"/>
      <c r="D24" s="3"/>
      <c r="E24" s="3"/>
      <c r="F24" s="3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/>
      <c r="B25" s="3"/>
      <c r="C25" s="3"/>
      <c r="D25" s="3"/>
      <c r="E25" s="3"/>
      <c r="F25" s="3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/>
      <c r="B26" s="3"/>
      <c r="C26" s="3"/>
      <c r="D26" s="3"/>
      <c r="E26" s="3"/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/>
      <c r="B27" s="3"/>
      <c r="C27" s="3"/>
      <c r="D27" s="3"/>
      <c r="E27" s="3"/>
      <c r="F27" s="3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/>
      <c r="B28" s="3"/>
      <c r="C28" s="3"/>
      <c r="D28" s="3"/>
      <c r="E28" s="3"/>
      <c r="F28" s="3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/>
      <c r="B29" s="3"/>
      <c r="C29" s="3"/>
      <c r="D29" s="3"/>
      <c r="E29" s="3"/>
      <c r="F29" s="3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/>
      <c r="B30" s="3"/>
      <c r="C30" s="3"/>
      <c r="D30" s="3"/>
      <c r="E30" s="3"/>
      <c r="F30" s="3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/>
      <c r="B31" s="3"/>
      <c r="C31" s="3"/>
      <c r="D31" s="3"/>
      <c r="E31" s="3"/>
      <c r="F31" s="3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/>
      <c r="B32" s="3"/>
      <c r="C32" s="3"/>
      <c r="D32" s="3"/>
      <c r="E32" s="3"/>
      <c r="F32" s="3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/>
      <c r="B34" s="3"/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/>
      <c r="B35" s="3"/>
      <c r="C35" s="3"/>
      <c r="D35" s="3"/>
      <c r="E35" s="3"/>
      <c r="F35" s="3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/>
      <c r="B36" s="3"/>
      <c r="C36" s="3"/>
      <c r="D36" s="3"/>
      <c r="E36" s="3"/>
      <c r="F36" s="3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/>
      <c r="B37" s="3"/>
      <c r="C37" s="3"/>
      <c r="D37" s="3"/>
      <c r="E37" s="3"/>
      <c r="F37" s="3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/>
      <c r="B38" s="3"/>
      <c r="C38" s="3"/>
      <c r="D38" s="3"/>
      <c r="E38" s="3"/>
      <c r="F38" s="3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3"/>
      <c r="B39" s="3"/>
      <c r="C39" s="3"/>
      <c r="D39" s="3"/>
      <c r="E39" s="3"/>
      <c r="F39" s="3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3"/>
      <c r="B40" s="3"/>
      <c r="C40" s="3"/>
      <c r="D40" s="3"/>
      <c r="E40" s="3"/>
      <c r="F40" s="3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conditionalFormatting sqref="E4:E9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'Validation Lists'!$E$2:$E$8</xm:f>
          </x14:formula1>
          <xm:sqref>F4:F40</xm:sqref>
        </x14:dataValidation>
        <x14:dataValidation type="list" xr:uid="{00000000-0002-0000-0400-000001000000}">
          <x14:formula1>
            <xm:f>'Validation Lists'!$A$2:$A$6</xm:f>
          </x14:formula1>
          <xm:sqref>G4:G40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>
      <selection sqref="A1:H1"/>
    </sheetView>
  </sheetViews>
  <sheetFormatPr defaultRowHeight="13.8"/>
  <cols>
    <col min="1" max="2" width="32" customWidth="1"/>
    <col min="3" max="3" width="13.69921875" customWidth="1"/>
    <col min="4" max="4" width="20.69921875" customWidth="1"/>
    <col min="5" max="5" width="17.59765625" customWidth="1"/>
    <col min="6" max="6" width="17.796875" customWidth="1"/>
    <col min="7" max="7" width="10.3984375" customWidth="1"/>
    <col min="8" max="8" width="30" customWidth="1"/>
  </cols>
  <sheetData>
    <row r="1" spans="1:26" ht="24" customHeight="1">
      <c r="A1" s="17" t="s">
        <v>158</v>
      </c>
      <c r="B1" s="18"/>
      <c r="C1" s="18"/>
      <c r="D1" s="18"/>
      <c r="E1" s="18"/>
      <c r="F1" s="18"/>
      <c r="G1" s="18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159</v>
      </c>
      <c r="B3" s="2" t="s">
        <v>160</v>
      </c>
      <c r="C3" s="2" t="s">
        <v>161</v>
      </c>
      <c r="D3" s="2" t="s">
        <v>162</v>
      </c>
      <c r="E3" s="2" t="s">
        <v>163</v>
      </c>
      <c r="F3" s="2" t="s">
        <v>164</v>
      </c>
      <c r="G3" s="2" t="s">
        <v>27</v>
      </c>
      <c r="H3" s="2" t="s">
        <v>165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166</v>
      </c>
      <c r="B4" s="3" t="s">
        <v>167</v>
      </c>
      <c r="C4" s="7">
        <v>46237</v>
      </c>
      <c r="D4" s="3" t="s">
        <v>43</v>
      </c>
      <c r="E4" s="9">
        <v>1</v>
      </c>
      <c r="F4" s="9">
        <v>0.8</v>
      </c>
      <c r="G4" s="3" t="s">
        <v>168</v>
      </c>
      <c r="H4" s="3" t="s">
        <v>169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3" t="s">
        <v>170</v>
      </c>
      <c r="B5" s="3" t="s">
        <v>171</v>
      </c>
      <c r="C5" s="7">
        <v>46239</v>
      </c>
      <c r="D5" s="3" t="s">
        <v>40</v>
      </c>
      <c r="E5" s="9">
        <v>1</v>
      </c>
      <c r="F5" s="9">
        <v>0.7</v>
      </c>
      <c r="G5" s="3" t="s">
        <v>168</v>
      </c>
      <c r="H5" s="3" t="s">
        <v>172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173</v>
      </c>
      <c r="B6" s="3" t="s">
        <v>174</v>
      </c>
      <c r="C6" s="7">
        <v>46241</v>
      </c>
      <c r="D6" s="3" t="s">
        <v>37</v>
      </c>
      <c r="E6" s="9">
        <v>1</v>
      </c>
      <c r="F6" s="9">
        <v>0.75</v>
      </c>
      <c r="G6" s="3" t="s">
        <v>168</v>
      </c>
      <c r="H6" s="3" t="s">
        <v>175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176</v>
      </c>
      <c r="B7" s="3" t="s">
        <v>177</v>
      </c>
      <c r="C7" s="7">
        <v>46244</v>
      </c>
      <c r="D7" s="3" t="s">
        <v>46</v>
      </c>
      <c r="E7" s="9">
        <v>1</v>
      </c>
      <c r="F7" s="9">
        <v>0.85</v>
      </c>
      <c r="G7" s="3" t="s">
        <v>168</v>
      </c>
      <c r="H7" s="3" t="s">
        <v>178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3" t="s">
        <v>179</v>
      </c>
      <c r="B8" s="3" t="s">
        <v>180</v>
      </c>
      <c r="C8" s="7">
        <v>46246</v>
      </c>
      <c r="D8" s="3" t="s">
        <v>91</v>
      </c>
      <c r="E8" s="9">
        <v>1</v>
      </c>
      <c r="F8" s="9">
        <v>0.6</v>
      </c>
      <c r="G8" s="3" t="s">
        <v>181</v>
      </c>
      <c r="H8" s="3" t="s">
        <v>182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/>
      <c r="B9" s="3"/>
      <c r="C9" s="7"/>
      <c r="D9" s="3"/>
      <c r="E9" s="9"/>
      <c r="F9" s="9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/>
      <c r="B10" s="3"/>
      <c r="C10" s="7"/>
      <c r="D10" s="3"/>
      <c r="E10" s="9"/>
      <c r="F10" s="9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/>
      <c r="B11" s="3"/>
      <c r="C11" s="7"/>
      <c r="D11" s="3"/>
      <c r="E11" s="9"/>
      <c r="F11" s="9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/>
      <c r="B12" s="3"/>
      <c r="C12" s="7"/>
      <c r="D12" s="3"/>
      <c r="E12" s="9"/>
      <c r="F12" s="9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/>
      <c r="B13" s="3"/>
      <c r="C13" s="7"/>
      <c r="D13" s="3"/>
      <c r="E13" s="9"/>
      <c r="F13" s="9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/>
      <c r="B14" s="3"/>
      <c r="C14" s="7"/>
      <c r="D14" s="3"/>
      <c r="E14" s="9"/>
      <c r="F14" s="9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/>
      <c r="B15" s="3"/>
      <c r="C15" s="7"/>
      <c r="D15" s="3"/>
      <c r="E15" s="9"/>
      <c r="F15" s="9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7"/>
      <c r="D16" s="3"/>
      <c r="E16" s="9"/>
      <c r="F16" s="9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7"/>
      <c r="D17" s="3"/>
      <c r="E17" s="9"/>
      <c r="F17" s="9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/>
      <c r="B18" s="3"/>
      <c r="C18" s="7"/>
      <c r="D18" s="3"/>
      <c r="E18" s="9"/>
      <c r="F18" s="9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/>
      <c r="B19" s="3"/>
      <c r="C19" s="7"/>
      <c r="D19" s="3"/>
      <c r="E19" s="9"/>
      <c r="F19" s="9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/>
      <c r="B20" s="3"/>
      <c r="C20" s="7"/>
      <c r="D20" s="3"/>
      <c r="E20" s="9"/>
      <c r="F20" s="9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/>
      <c r="B21" s="3"/>
      <c r="C21" s="7"/>
      <c r="D21" s="3"/>
      <c r="E21" s="9"/>
      <c r="F21" s="9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/>
      <c r="B22" s="3"/>
      <c r="C22" s="7"/>
      <c r="D22" s="3"/>
      <c r="E22" s="9"/>
      <c r="F22" s="9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/>
      <c r="B23" s="3"/>
      <c r="C23" s="7"/>
      <c r="D23" s="3"/>
      <c r="E23" s="9"/>
      <c r="F23" s="9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/>
      <c r="B24" s="3"/>
      <c r="C24" s="7"/>
      <c r="D24" s="3"/>
      <c r="E24" s="9"/>
      <c r="F24" s="9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/>
      <c r="B25" s="3"/>
      <c r="C25" s="7"/>
      <c r="D25" s="3"/>
      <c r="E25" s="9"/>
      <c r="F25" s="9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/>
      <c r="B26" s="3"/>
      <c r="C26" s="7"/>
      <c r="D26" s="3"/>
      <c r="E26" s="9"/>
      <c r="F26" s="9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/>
      <c r="B27" s="3"/>
      <c r="C27" s="7"/>
      <c r="D27" s="3"/>
      <c r="E27" s="9"/>
      <c r="F27" s="9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/>
      <c r="B28" s="3"/>
      <c r="C28" s="7"/>
      <c r="D28" s="3"/>
      <c r="E28" s="9"/>
      <c r="F28" s="9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/>
      <c r="B29" s="3"/>
      <c r="C29" s="7"/>
      <c r="D29" s="3"/>
      <c r="E29" s="9"/>
      <c r="F29" s="9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/>
      <c r="B30" s="3"/>
      <c r="C30" s="7"/>
      <c r="D30" s="3"/>
      <c r="E30" s="9"/>
      <c r="F30" s="9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/>
      <c r="B31" s="3"/>
      <c r="C31" s="7"/>
      <c r="D31" s="3"/>
      <c r="E31" s="9"/>
      <c r="F31" s="9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/>
      <c r="B32" s="3"/>
      <c r="C32" s="7"/>
      <c r="D32" s="3"/>
      <c r="E32" s="9"/>
      <c r="F32" s="9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/>
      <c r="B33" s="3"/>
      <c r="C33" s="7"/>
      <c r="D33" s="3"/>
      <c r="E33" s="9"/>
      <c r="F33" s="9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/>
      <c r="B34" s="3"/>
      <c r="C34" s="7"/>
      <c r="D34" s="3"/>
      <c r="E34" s="9"/>
      <c r="F34" s="9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/>
      <c r="B35" s="3"/>
      <c r="C35" s="7"/>
      <c r="D35" s="3"/>
      <c r="E35" s="9"/>
      <c r="F35" s="9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/>
      <c r="B36" s="3"/>
      <c r="C36" s="7"/>
      <c r="D36" s="3"/>
      <c r="E36" s="9"/>
      <c r="F36" s="9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/>
      <c r="B37" s="3"/>
      <c r="C37" s="7"/>
      <c r="D37" s="3"/>
      <c r="E37" s="9"/>
      <c r="F37" s="9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/>
      <c r="B38" s="3"/>
      <c r="C38" s="7"/>
      <c r="D38" s="3"/>
      <c r="E38" s="9"/>
      <c r="F38" s="9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3"/>
      <c r="B39" s="3"/>
      <c r="C39" s="7"/>
      <c r="D39" s="3"/>
      <c r="E39" s="9"/>
      <c r="F39" s="9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3"/>
      <c r="B40" s="3"/>
      <c r="C40" s="7"/>
      <c r="D40" s="3"/>
      <c r="E40" s="9"/>
      <c r="F40" s="9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conditionalFormatting sqref="F4:F40">
    <cfRule type="dataBar" priority="1">
      <dataBar>
        <cfvo type="min"/>
        <cfvo type="max"/>
        <color rgb="FF1F7A8C"/>
      </dataBar>
    </cfRule>
    <cfRule type="dataBar" priority="2">
      <dataBar>
        <cfvo type="min"/>
        <cfvo type="max"/>
        <color rgb="FF1F7A8C"/>
      </dataBar>
      <extLst>
        <ext xmlns:x14="http://schemas.microsoft.com/office/spreadsheetml/2009/9/main" uri="{B025F937-C7B1-47D3-B67F-A62EFF666E3E}">
          <x14:id>{6D023FFE-4768-AEB3-8CF6-099C23D35CF8}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023FFE-4768-AEB3-8CF6-099C23D35CF8}">
            <x14:dataBar>
              <x14:cfvo type="min"/>
              <x14:cfvo type="max"/>
              <x14:negativeFillColor auto="1"/>
              <x14:axisColor auto="1"/>
            </x14:dataBar>
          </x14:cfRule>
          <xm:sqref>F4:F40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'Validation Lists'!$F$2:$F$5</xm:f>
          </x14:formula1>
          <xm:sqref>G4:G40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>
      <selection sqref="A1:L1"/>
    </sheetView>
  </sheetViews>
  <sheetFormatPr defaultRowHeight="13.8"/>
  <cols>
    <col min="1" max="1" width="34.8984375" customWidth="1"/>
    <col min="2" max="2" width="14.296875" customWidth="1"/>
    <col min="3" max="3" width="14.796875" customWidth="1"/>
    <col min="4" max="4" width="34" customWidth="1"/>
    <col min="5" max="5" width="8.8984375" customWidth="1"/>
    <col min="6" max="6" width="21.3984375" customWidth="1"/>
    <col min="7" max="7" width="18.59765625" customWidth="1"/>
    <col min="8" max="8" width="13.09765625" customWidth="1"/>
    <col min="9" max="9" width="13.5" customWidth="1"/>
    <col min="10" max="10" width="12.19921875" customWidth="1"/>
    <col min="11" max="12" width="36" customWidth="1"/>
  </cols>
  <sheetData>
    <row r="1" spans="1:26" ht="24" customHeight="1">
      <c r="A1" s="17" t="s">
        <v>183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184</v>
      </c>
      <c r="B3" s="2" t="s">
        <v>185</v>
      </c>
      <c r="C3" s="2" t="s">
        <v>141</v>
      </c>
      <c r="D3" s="2" t="s">
        <v>186</v>
      </c>
      <c r="E3" s="2" t="s">
        <v>187</v>
      </c>
      <c r="F3" s="2" t="s">
        <v>188</v>
      </c>
      <c r="G3" s="2" t="s">
        <v>189</v>
      </c>
      <c r="H3" s="2" t="s">
        <v>59</v>
      </c>
      <c r="I3" s="2" t="s">
        <v>190</v>
      </c>
      <c r="J3" s="2" t="s">
        <v>27</v>
      </c>
      <c r="K3" s="2" t="s">
        <v>191</v>
      </c>
      <c r="L3" s="2" t="s">
        <v>192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3" t="s">
        <v>193</v>
      </c>
      <c r="B4" s="7">
        <v>46204</v>
      </c>
      <c r="C4" s="3" t="s">
        <v>194</v>
      </c>
      <c r="D4" s="3" t="s">
        <v>195</v>
      </c>
      <c r="E4" s="3" t="s">
        <v>196</v>
      </c>
      <c r="F4" s="3" t="s">
        <v>34</v>
      </c>
      <c r="G4" s="7">
        <v>46206</v>
      </c>
      <c r="H4" s="7">
        <v>46205</v>
      </c>
      <c r="I4" s="12">
        <f t="shared" ref="I4:I40" ca="1" si="0">IF(H4="",TODAY()-B4,H4-B4)</f>
        <v>1</v>
      </c>
      <c r="J4" s="3" t="str">
        <f t="shared" ref="J4:J40" si="1">IF(H4="","Open",IF(H4&lt;=G4,"Closed on Time","Closed Late"))</f>
        <v>Closed on Time</v>
      </c>
      <c r="K4" s="3" t="s">
        <v>197</v>
      </c>
      <c r="L4" s="3" t="s">
        <v>198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3" t="s">
        <v>199</v>
      </c>
      <c r="B5" s="7">
        <v>46205</v>
      </c>
      <c r="C5" s="3" t="s">
        <v>153</v>
      </c>
      <c r="D5" s="3" t="s">
        <v>200</v>
      </c>
      <c r="E5" s="3" t="s">
        <v>201</v>
      </c>
      <c r="F5" s="3" t="s">
        <v>37</v>
      </c>
      <c r="G5" s="7">
        <v>46207</v>
      </c>
      <c r="H5" s="7"/>
      <c r="I5" s="12">
        <f t="shared" ca="1" si="0"/>
        <v>-20</v>
      </c>
      <c r="J5" s="3" t="str">
        <f t="shared" si="1"/>
        <v>Open</v>
      </c>
      <c r="K5" s="3" t="s">
        <v>202</v>
      </c>
      <c r="L5" s="3" t="s">
        <v>203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3" t="s">
        <v>204</v>
      </c>
      <c r="B6" s="7">
        <v>46207</v>
      </c>
      <c r="C6" s="3" t="s">
        <v>205</v>
      </c>
      <c r="D6" s="3" t="s">
        <v>206</v>
      </c>
      <c r="E6" s="3" t="s">
        <v>201</v>
      </c>
      <c r="F6" s="3" t="s">
        <v>76</v>
      </c>
      <c r="G6" s="7">
        <v>46209</v>
      </c>
      <c r="H6" s="7">
        <v>46209</v>
      </c>
      <c r="I6" s="12">
        <f t="shared" ca="1" si="0"/>
        <v>2</v>
      </c>
      <c r="J6" s="3" t="str">
        <f t="shared" si="1"/>
        <v>Closed on Time</v>
      </c>
      <c r="K6" s="3" t="s">
        <v>207</v>
      </c>
      <c r="L6" s="3" t="s">
        <v>208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3" t="s">
        <v>209</v>
      </c>
      <c r="B7" s="7">
        <v>46208</v>
      </c>
      <c r="C7" s="3" t="s">
        <v>79</v>
      </c>
      <c r="D7" s="3" t="s">
        <v>210</v>
      </c>
      <c r="E7" s="3" t="s">
        <v>211</v>
      </c>
      <c r="F7" s="3" t="s">
        <v>40</v>
      </c>
      <c r="G7" s="7">
        <v>46211</v>
      </c>
      <c r="H7" s="7"/>
      <c r="I7" s="12">
        <f t="shared" ca="1" si="0"/>
        <v>-23</v>
      </c>
      <c r="J7" s="3" t="str">
        <f t="shared" si="1"/>
        <v>Open</v>
      </c>
      <c r="K7" s="3" t="s">
        <v>212</v>
      </c>
      <c r="L7" s="3" t="s">
        <v>213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/>
      <c r="B8" s="7"/>
      <c r="C8" s="3"/>
      <c r="D8" s="3"/>
      <c r="E8" s="3"/>
      <c r="F8" s="3"/>
      <c r="G8" s="7"/>
      <c r="H8" s="7"/>
      <c r="I8" s="12">
        <f t="shared" ca="1" si="0"/>
        <v>46185</v>
      </c>
      <c r="J8" s="3" t="str">
        <f t="shared" si="1"/>
        <v>Open</v>
      </c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/>
      <c r="B9" s="7"/>
      <c r="C9" s="3"/>
      <c r="D9" s="3"/>
      <c r="E9" s="3"/>
      <c r="F9" s="3"/>
      <c r="G9" s="7"/>
      <c r="H9" s="7"/>
      <c r="I9" s="12">
        <f t="shared" ca="1" si="0"/>
        <v>46185</v>
      </c>
      <c r="J9" s="3" t="str">
        <f t="shared" si="1"/>
        <v>Open</v>
      </c>
      <c r="K9" s="3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/>
      <c r="B10" s="7"/>
      <c r="C10" s="3"/>
      <c r="D10" s="3"/>
      <c r="E10" s="3"/>
      <c r="F10" s="3"/>
      <c r="G10" s="7"/>
      <c r="H10" s="7"/>
      <c r="I10" s="12">
        <f t="shared" ca="1" si="0"/>
        <v>46185</v>
      </c>
      <c r="J10" s="3" t="str">
        <f t="shared" si="1"/>
        <v>Open</v>
      </c>
      <c r="K10" s="3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/>
      <c r="B11" s="7"/>
      <c r="C11" s="3"/>
      <c r="D11" s="3"/>
      <c r="E11" s="3"/>
      <c r="F11" s="3"/>
      <c r="G11" s="7"/>
      <c r="H11" s="7"/>
      <c r="I11" s="12">
        <f t="shared" ca="1" si="0"/>
        <v>46185</v>
      </c>
      <c r="J11" s="3" t="str">
        <f t="shared" si="1"/>
        <v>Open</v>
      </c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/>
      <c r="B12" s="7"/>
      <c r="C12" s="3"/>
      <c r="D12" s="3"/>
      <c r="E12" s="3"/>
      <c r="F12" s="3"/>
      <c r="G12" s="7"/>
      <c r="H12" s="7"/>
      <c r="I12" s="12">
        <f t="shared" ca="1" si="0"/>
        <v>46185</v>
      </c>
      <c r="J12" s="3" t="str">
        <f t="shared" si="1"/>
        <v>Open</v>
      </c>
      <c r="K12" s="3"/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/>
      <c r="B13" s="7"/>
      <c r="C13" s="3"/>
      <c r="D13" s="3"/>
      <c r="E13" s="3"/>
      <c r="F13" s="3"/>
      <c r="G13" s="7"/>
      <c r="H13" s="7"/>
      <c r="I13" s="12">
        <f t="shared" ca="1" si="0"/>
        <v>46185</v>
      </c>
      <c r="J13" s="3" t="str">
        <f t="shared" si="1"/>
        <v>Open</v>
      </c>
      <c r="K13" s="3"/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/>
      <c r="B14" s="7"/>
      <c r="C14" s="3"/>
      <c r="D14" s="3"/>
      <c r="E14" s="3"/>
      <c r="F14" s="3"/>
      <c r="G14" s="7"/>
      <c r="H14" s="7"/>
      <c r="I14" s="12">
        <f t="shared" ca="1" si="0"/>
        <v>46185</v>
      </c>
      <c r="J14" s="3" t="str">
        <f t="shared" si="1"/>
        <v>Open</v>
      </c>
      <c r="K14" s="3"/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/>
      <c r="B15" s="7"/>
      <c r="C15" s="3"/>
      <c r="D15" s="3"/>
      <c r="E15" s="3"/>
      <c r="F15" s="3"/>
      <c r="G15" s="7"/>
      <c r="H15" s="7"/>
      <c r="I15" s="12">
        <f t="shared" ca="1" si="0"/>
        <v>46185</v>
      </c>
      <c r="J15" s="3" t="str">
        <f t="shared" si="1"/>
        <v>Open</v>
      </c>
      <c r="K15" s="3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7"/>
      <c r="C16" s="3"/>
      <c r="D16" s="3"/>
      <c r="E16" s="3"/>
      <c r="F16" s="3"/>
      <c r="G16" s="7"/>
      <c r="H16" s="7"/>
      <c r="I16" s="12">
        <f t="shared" ca="1" si="0"/>
        <v>46185</v>
      </c>
      <c r="J16" s="3" t="str">
        <f t="shared" si="1"/>
        <v>Open</v>
      </c>
      <c r="K16" s="3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7"/>
      <c r="C17" s="3"/>
      <c r="D17" s="3"/>
      <c r="E17" s="3"/>
      <c r="F17" s="3"/>
      <c r="G17" s="7"/>
      <c r="H17" s="7"/>
      <c r="I17" s="12">
        <f t="shared" ca="1" si="0"/>
        <v>46185</v>
      </c>
      <c r="J17" s="3" t="str">
        <f t="shared" si="1"/>
        <v>Open</v>
      </c>
      <c r="K17" s="3"/>
      <c r="L17" s="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/>
      <c r="B18" s="7"/>
      <c r="C18" s="3"/>
      <c r="D18" s="3"/>
      <c r="E18" s="3"/>
      <c r="F18" s="3"/>
      <c r="G18" s="7"/>
      <c r="H18" s="7"/>
      <c r="I18" s="12">
        <f t="shared" ca="1" si="0"/>
        <v>46185</v>
      </c>
      <c r="J18" s="3" t="str">
        <f t="shared" si="1"/>
        <v>Open</v>
      </c>
      <c r="K18" s="3"/>
      <c r="L18" s="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/>
      <c r="B19" s="7"/>
      <c r="C19" s="3"/>
      <c r="D19" s="3"/>
      <c r="E19" s="3"/>
      <c r="F19" s="3"/>
      <c r="G19" s="7"/>
      <c r="H19" s="7"/>
      <c r="I19" s="12">
        <f t="shared" ca="1" si="0"/>
        <v>46185</v>
      </c>
      <c r="J19" s="3" t="str">
        <f t="shared" si="1"/>
        <v>Open</v>
      </c>
      <c r="K19" s="3"/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/>
      <c r="B20" s="7"/>
      <c r="C20" s="3"/>
      <c r="D20" s="3"/>
      <c r="E20" s="3"/>
      <c r="F20" s="3"/>
      <c r="G20" s="7"/>
      <c r="H20" s="7"/>
      <c r="I20" s="12">
        <f t="shared" ca="1" si="0"/>
        <v>46185</v>
      </c>
      <c r="J20" s="3" t="str">
        <f t="shared" si="1"/>
        <v>Open</v>
      </c>
      <c r="K20" s="3"/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/>
      <c r="B21" s="7"/>
      <c r="C21" s="3"/>
      <c r="D21" s="3"/>
      <c r="E21" s="3"/>
      <c r="F21" s="3"/>
      <c r="G21" s="7"/>
      <c r="H21" s="7"/>
      <c r="I21" s="12">
        <f t="shared" ca="1" si="0"/>
        <v>46185</v>
      </c>
      <c r="J21" s="3" t="str">
        <f t="shared" si="1"/>
        <v>Open</v>
      </c>
      <c r="K21" s="3"/>
      <c r="L21" s="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/>
      <c r="B22" s="7"/>
      <c r="C22" s="3"/>
      <c r="D22" s="3"/>
      <c r="E22" s="3"/>
      <c r="F22" s="3"/>
      <c r="G22" s="7"/>
      <c r="H22" s="7"/>
      <c r="I22" s="12">
        <f t="shared" ca="1" si="0"/>
        <v>46185</v>
      </c>
      <c r="J22" s="3" t="str">
        <f t="shared" si="1"/>
        <v>Open</v>
      </c>
      <c r="K22" s="3"/>
      <c r="L22" s="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/>
      <c r="B23" s="7"/>
      <c r="C23" s="3"/>
      <c r="D23" s="3"/>
      <c r="E23" s="3"/>
      <c r="F23" s="3"/>
      <c r="G23" s="7"/>
      <c r="H23" s="7"/>
      <c r="I23" s="12">
        <f t="shared" ca="1" si="0"/>
        <v>46185</v>
      </c>
      <c r="J23" s="3" t="str">
        <f t="shared" si="1"/>
        <v>Open</v>
      </c>
      <c r="K23" s="3"/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/>
      <c r="B24" s="7"/>
      <c r="C24" s="3"/>
      <c r="D24" s="3"/>
      <c r="E24" s="3"/>
      <c r="F24" s="3"/>
      <c r="G24" s="7"/>
      <c r="H24" s="7"/>
      <c r="I24" s="12">
        <f t="shared" ca="1" si="0"/>
        <v>46185</v>
      </c>
      <c r="J24" s="3" t="str">
        <f t="shared" si="1"/>
        <v>Open</v>
      </c>
      <c r="K24" s="3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/>
      <c r="B25" s="7"/>
      <c r="C25" s="3"/>
      <c r="D25" s="3"/>
      <c r="E25" s="3"/>
      <c r="F25" s="3"/>
      <c r="G25" s="7"/>
      <c r="H25" s="7"/>
      <c r="I25" s="12">
        <f t="shared" ca="1" si="0"/>
        <v>46185</v>
      </c>
      <c r="J25" s="3" t="str">
        <f t="shared" si="1"/>
        <v>Open</v>
      </c>
      <c r="K25" s="3"/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/>
      <c r="B26" s="7"/>
      <c r="C26" s="3"/>
      <c r="D26" s="3"/>
      <c r="E26" s="3"/>
      <c r="F26" s="3"/>
      <c r="G26" s="7"/>
      <c r="H26" s="7"/>
      <c r="I26" s="12">
        <f t="shared" ca="1" si="0"/>
        <v>46185</v>
      </c>
      <c r="J26" s="3" t="str">
        <f t="shared" si="1"/>
        <v>Open</v>
      </c>
      <c r="K26" s="3"/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/>
      <c r="B27" s="7"/>
      <c r="C27" s="3"/>
      <c r="D27" s="3"/>
      <c r="E27" s="3"/>
      <c r="F27" s="3"/>
      <c r="G27" s="7"/>
      <c r="H27" s="7"/>
      <c r="I27" s="12">
        <f t="shared" ca="1" si="0"/>
        <v>46185</v>
      </c>
      <c r="J27" s="3" t="str">
        <f t="shared" si="1"/>
        <v>Open</v>
      </c>
      <c r="K27" s="3"/>
      <c r="L27" s="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/>
      <c r="B28" s="7"/>
      <c r="C28" s="3"/>
      <c r="D28" s="3"/>
      <c r="E28" s="3"/>
      <c r="F28" s="3"/>
      <c r="G28" s="7"/>
      <c r="H28" s="7"/>
      <c r="I28" s="12">
        <f t="shared" ca="1" si="0"/>
        <v>46185</v>
      </c>
      <c r="J28" s="3" t="str">
        <f t="shared" si="1"/>
        <v>Open</v>
      </c>
      <c r="K28" s="3"/>
      <c r="L28" s="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/>
      <c r="B29" s="7"/>
      <c r="C29" s="3"/>
      <c r="D29" s="3"/>
      <c r="E29" s="3"/>
      <c r="F29" s="3"/>
      <c r="G29" s="7"/>
      <c r="H29" s="7"/>
      <c r="I29" s="12">
        <f t="shared" ca="1" si="0"/>
        <v>46185</v>
      </c>
      <c r="J29" s="3" t="str">
        <f t="shared" si="1"/>
        <v>Open</v>
      </c>
      <c r="K29" s="3"/>
      <c r="L29" s="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/>
      <c r="B30" s="7"/>
      <c r="C30" s="3"/>
      <c r="D30" s="3"/>
      <c r="E30" s="3"/>
      <c r="F30" s="3"/>
      <c r="G30" s="7"/>
      <c r="H30" s="7"/>
      <c r="I30" s="12">
        <f t="shared" ca="1" si="0"/>
        <v>46185</v>
      </c>
      <c r="J30" s="3" t="str">
        <f t="shared" si="1"/>
        <v>Open</v>
      </c>
      <c r="K30" s="3"/>
      <c r="L30" s="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/>
      <c r="B31" s="7"/>
      <c r="C31" s="3"/>
      <c r="D31" s="3"/>
      <c r="E31" s="3"/>
      <c r="F31" s="3"/>
      <c r="G31" s="7"/>
      <c r="H31" s="7"/>
      <c r="I31" s="12">
        <f t="shared" ca="1" si="0"/>
        <v>46185</v>
      </c>
      <c r="J31" s="3" t="str">
        <f t="shared" si="1"/>
        <v>Open</v>
      </c>
      <c r="K31" s="3"/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/>
      <c r="B32" s="7"/>
      <c r="C32" s="3"/>
      <c r="D32" s="3"/>
      <c r="E32" s="3"/>
      <c r="F32" s="3"/>
      <c r="G32" s="7"/>
      <c r="H32" s="7"/>
      <c r="I32" s="12">
        <f t="shared" ca="1" si="0"/>
        <v>46185</v>
      </c>
      <c r="J32" s="3" t="str">
        <f t="shared" si="1"/>
        <v>Open</v>
      </c>
      <c r="K32" s="3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/>
      <c r="B33" s="7"/>
      <c r="C33" s="3"/>
      <c r="D33" s="3"/>
      <c r="E33" s="3"/>
      <c r="F33" s="3"/>
      <c r="G33" s="7"/>
      <c r="H33" s="7"/>
      <c r="I33" s="12">
        <f t="shared" ca="1" si="0"/>
        <v>46185</v>
      </c>
      <c r="J33" s="3" t="str">
        <f t="shared" si="1"/>
        <v>Open</v>
      </c>
      <c r="K33" s="3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/>
      <c r="B34" s="7"/>
      <c r="C34" s="3"/>
      <c r="D34" s="3"/>
      <c r="E34" s="3"/>
      <c r="F34" s="3"/>
      <c r="G34" s="7"/>
      <c r="H34" s="7"/>
      <c r="I34" s="12">
        <f t="shared" ca="1" si="0"/>
        <v>46185</v>
      </c>
      <c r="J34" s="3" t="str">
        <f t="shared" si="1"/>
        <v>Open</v>
      </c>
      <c r="K34" s="3"/>
      <c r="L34" s="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/>
      <c r="B35" s="7"/>
      <c r="C35" s="3"/>
      <c r="D35" s="3"/>
      <c r="E35" s="3"/>
      <c r="F35" s="3"/>
      <c r="G35" s="7"/>
      <c r="H35" s="7"/>
      <c r="I35" s="12">
        <f t="shared" ca="1" si="0"/>
        <v>46185</v>
      </c>
      <c r="J35" s="3" t="str">
        <f t="shared" si="1"/>
        <v>Open</v>
      </c>
      <c r="K35" s="3"/>
      <c r="L35" s="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/>
      <c r="B36" s="7"/>
      <c r="C36" s="3"/>
      <c r="D36" s="3"/>
      <c r="E36" s="3"/>
      <c r="F36" s="3"/>
      <c r="G36" s="7"/>
      <c r="H36" s="7"/>
      <c r="I36" s="12">
        <f t="shared" ca="1" si="0"/>
        <v>46185</v>
      </c>
      <c r="J36" s="3" t="str">
        <f t="shared" si="1"/>
        <v>Open</v>
      </c>
      <c r="K36" s="3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/>
      <c r="B37" s="7"/>
      <c r="C37" s="3"/>
      <c r="D37" s="3"/>
      <c r="E37" s="3"/>
      <c r="F37" s="3"/>
      <c r="G37" s="7"/>
      <c r="H37" s="7"/>
      <c r="I37" s="12">
        <f t="shared" ca="1" si="0"/>
        <v>46185</v>
      </c>
      <c r="J37" s="3" t="str">
        <f t="shared" si="1"/>
        <v>Open</v>
      </c>
      <c r="K37" s="3"/>
      <c r="L37" s="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/>
      <c r="B38" s="7"/>
      <c r="C38" s="3"/>
      <c r="D38" s="3"/>
      <c r="E38" s="3"/>
      <c r="F38" s="3"/>
      <c r="G38" s="7"/>
      <c r="H38" s="7"/>
      <c r="I38" s="12">
        <f t="shared" ca="1" si="0"/>
        <v>46185</v>
      </c>
      <c r="J38" s="3" t="str">
        <f t="shared" si="1"/>
        <v>Open</v>
      </c>
      <c r="K38" s="3"/>
      <c r="L38" s="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3"/>
      <c r="B39" s="7"/>
      <c r="C39" s="3"/>
      <c r="D39" s="3"/>
      <c r="E39" s="3"/>
      <c r="F39" s="3"/>
      <c r="G39" s="7"/>
      <c r="H39" s="7"/>
      <c r="I39" s="12">
        <f t="shared" ca="1" si="0"/>
        <v>46185</v>
      </c>
      <c r="J39" s="3" t="str">
        <f t="shared" si="1"/>
        <v>Open</v>
      </c>
      <c r="K39" s="3"/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3"/>
      <c r="B40" s="7"/>
      <c r="C40" s="3"/>
      <c r="D40" s="3"/>
      <c r="E40" s="3"/>
      <c r="F40" s="3"/>
      <c r="G40" s="7"/>
      <c r="H40" s="7"/>
      <c r="I40" s="12">
        <f t="shared" ca="1" si="0"/>
        <v>46185</v>
      </c>
      <c r="J40" s="3" t="str">
        <f t="shared" si="1"/>
        <v>Open</v>
      </c>
      <c r="K40" s="3"/>
      <c r="L40" s="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L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600-000000000000}">
          <x14:formula1>
            <xm:f>'Validation Lists'!$D$2:$D$8</xm:f>
          </x14:formula1>
          <xm:sqref>C4:C40</xm:sqref>
        </x14:dataValidation>
        <x14:dataValidation type="list" xr:uid="{00000000-0002-0000-0600-000001000000}">
          <x14:formula1>
            <xm:f>'Validation Lists'!$B$2:$B$5</xm:f>
          </x14:formula1>
          <xm:sqref>E4:E40</xm:sqref>
        </x14:dataValidation>
        <x14:dataValidation type="list" xr:uid="{00000000-0002-0000-0600-000002000000}">
          <x14:formula1>
            <xm:f>'Validation Lists'!$E$2:$E$8</xm:f>
          </x14:formula1>
          <xm:sqref>F4:F40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>
      <selection sqref="A1:H1"/>
    </sheetView>
  </sheetViews>
  <sheetFormatPr defaultRowHeight="13.8"/>
  <cols>
    <col min="1" max="8" width="25" customWidth="1"/>
  </cols>
  <sheetData>
    <row r="1" spans="1:26" ht="24" customHeight="1">
      <c r="A1" s="17" t="s">
        <v>214</v>
      </c>
      <c r="B1" s="18"/>
      <c r="C1" s="18"/>
      <c r="D1" s="18"/>
      <c r="E1" s="18"/>
      <c r="F1" s="18"/>
      <c r="G1" s="18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215</v>
      </c>
      <c r="B3" s="2" t="s">
        <v>216</v>
      </c>
      <c r="C3" s="2" t="s">
        <v>217</v>
      </c>
      <c r="D3" s="2" t="s">
        <v>218</v>
      </c>
      <c r="E3" s="2" t="s">
        <v>219</v>
      </c>
      <c r="F3" s="2" t="s">
        <v>220</v>
      </c>
      <c r="G3" s="2" t="s">
        <v>221</v>
      </c>
      <c r="H3" s="2" t="s">
        <v>27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4">
      <c r="A4" s="3" t="s">
        <v>222</v>
      </c>
      <c r="B4" s="3" t="s">
        <v>223</v>
      </c>
      <c r="C4" s="3" t="s">
        <v>224</v>
      </c>
      <c r="D4" s="3" t="s">
        <v>225</v>
      </c>
      <c r="E4" s="3" t="s">
        <v>37</v>
      </c>
      <c r="F4" s="3" t="s">
        <v>226</v>
      </c>
      <c r="G4" s="3" t="s">
        <v>227</v>
      </c>
      <c r="H4" s="3" t="s">
        <v>65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3" t="s">
        <v>228</v>
      </c>
      <c r="B5" s="3" t="s">
        <v>229</v>
      </c>
      <c r="C5" s="3" t="s">
        <v>230</v>
      </c>
      <c r="D5" s="3" t="s">
        <v>231</v>
      </c>
      <c r="E5" s="3" t="s">
        <v>76</v>
      </c>
      <c r="F5" s="3" t="s">
        <v>232</v>
      </c>
      <c r="G5" s="3" t="s">
        <v>233</v>
      </c>
      <c r="H5" s="3" t="s">
        <v>65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3" t="s">
        <v>234</v>
      </c>
      <c r="B6" s="3" t="s">
        <v>235</v>
      </c>
      <c r="C6" s="3" t="s">
        <v>236</v>
      </c>
      <c r="D6" s="3" t="s">
        <v>237</v>
      </c>
      <c r="E6" s="3" t="s">
        <v>34</v>
      </c>
      <c r="F6" s="3" t="s">
        <v>238</v>
      </c>
      <c r="G6" s="3" t="s">
        <v>239</v>
      </c>
      <c r="H6" s="3" t="s">
        <v>82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3" t="s">
        <v>240</v>
      </c>
      <c r="B7" s="3" t="s">
        <v>241</v>
      </c>
      <c r="C7" s="3" t="s">
        <v>242</v>
      </c>
      <c r="D7" s="3" t="s">
        <v>243</v>
      </c>
      <c r="E7" s="3" t="s">
        <v>85</v>
      </c>
      <c r="F7" s="3" t="s">
        <v>244</v>
      </c>
      <c r="G7" s="3" t="s">
        <v>245</v>
      </c>
      <c r="H7" s="3" t="s">
        <v>82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3" t="s">
        <v>246</v>
      </c>
      <c r="B8" s="3" t="s">
        <v>247</v>
      </c>
      <c r="C8" s="3" t="s">
        <v>248</v>
      </c>
      <c r="D8" s="3" t="s">
        <v>249</v>
      </c>
      <c r="E8" s="3" t="s">
        <v>79</v>
      </c>
      <c r="F8" s="3" t="s">
        <v>250</v>
      </c>
      <c r="G8" s="3" t="s">
        <v>251</v>
      </c>
      <c r="H8" s="3" t="s">
        <v>82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3" t="s">
        <v>252</v>
      </c>
      <c r="B9" s="3" t="s">
        <v>253</v>
      </c>
      <c r="C9" s="3" t="s">
        <v>254</v>
      </c>
      <c r="D9" s="3" t="s">
        <v>255</v>
      </c>
      <c r="E9" s="3" t="s">
        <v>40</v>
      </c>
      <c r="F9" s="3" t="s">
        <v>256</v>
      </c>
      <c r="G9" s="3" t="s">
        <v>257</v>
      </c>
      <c r="H9" s="3" t="s">
        <v>65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/>
      <c r="B10" s="3"/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/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/>
      <c r="B13" s="3"/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/>
      <c r="B14" s="3"/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/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/>
      <c r="B19" s="3"/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/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/>
      <c r="B24" s="3"/>
      <c r="C24" s="3"/>
      <c r="D24" s="3"/>
      <c r="E24" s="3"/>
      <c r="F24" s="3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/>
      <c r="B25" s="3"/>
      <c r="C25" s="3"/>
      <c r="D25" s="3"/>
      <c r="E25" s="3"/>
      <c r="F25" s="3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/>
      <c r="B26" s="3"/>
      <c r="C26" s="3"/>
      <c r="D26" s="3"/>
      <c r="E26" s="3"/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/>
      <c r="B27" s="3"/>
      <c r="C27" s="3"/>
      <c r="D27" s="3"/>
      <c r="E27" s="3"/>
      <c r="F27" s="3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/>
      <c r="B28" s="3"/>
      <c r="C28" s="3"/>
      <c r="D28" s="3"/>
      <c r="E28" s="3"/>
      <c r="F28" s="3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/>
      <c r="B29" s="3"/>
      <c r="C29" s="3"/>
      <c r="D29" s="3"/>
      <c r="E29" s="3"/>
      <c r="F29" s="3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/>
      <c r="B30" s="3"/>
      <c r="C30" s="3"/>
      <c r="D30" s="3"/>
      <c r="E30" s="3"/>
      <c r="F30" s="3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/>
      <c r="B31" s="3"/>
      <c r="C31" s="3"/>
      <c r="D31" s="3"/>
      <c r="E31" s="3"/>
      <c r="F31" s="3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/>
      <c r="B32" s="3"/>
      <c r="C32" s="3"/>
      <c r="D32" s="3"/>
      <c r="E32" s="3"/>
      <c r="F32" s="3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/>
      <c r="B34" s="3"/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/>
      <c r="B35" s="3"/>
      <c r="C35" s="3"/>
      <c r="D35" s="3"/>
      <c r="E35" s="3"/>
      <c r="F35" s="3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/>
      <c r="B36" s="3"/>
      <c r="C36" s="3"/>
      <c r="D36" s="3"/>
      <c r="E36" s="3"/>
      <c r="F36" s="3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/>
      <c r="B37" s="3"/>
      <c r="C37" s="3"/>
      <c r="D37" s="3"/>
      <c r="E37" s="3"/>
      <c r="F37" s="3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/>
      <c r="B38" s="3"/>
      <c r="C38" s="3"/>
      <c r="D38" s="3"/>
      <c r="E38" s="3"/>
      <c r="F38" s="3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3"/>
      <c r="B39" s="3"/>
      <c r="C39" s="3"/>
      <c r="D39" s="3"/>
      <c r="E39" s="3"/>
      <c r="F39" s="3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3"/>
      <c r="B40" s="3"/>
      <c r="C40" s="3"/>
      <c r="D40" s="3"/>
      <c r="E40" s="3"/>
      <c r="F40" s="3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'Validation Lists'!$A$2:$A$6</xm:f>
          </x14:formula1>
          <xm:sqref>H4:H40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>
      <selection sqref="A1:J1"/>
    </sheetView>
  </sheetViews>
  <sheetFormatPr defaultRowHeight="13.8"/>
  <cols>
    <col min="1" max="1" width="36.296875" customWidth="1"/>
    <col min="2" max="2" width="38" customWidth="1"/>
    <col min="3" max="3" width="8.8984375" customWidth="1"/>
    <col min="4" max="4" width="21.3984375" customWidth="1"/>
    <col min="5" max="6" width="11.19921875" bestFit="1" customWidth="1"/>
    <col min="7" max="7" width="11.296875" customWidth="1"/>
    <col min="8" max="8" width="9.59765625" customWidth="1"/>
    <col min="9" max="10" width="28" customWidth="1"/>
  </cols>
  <sheetData>
    <row r="1" spans="1:26" ht="24" customHeight="1">
      <c r="A1" s="17" t="s">
        <v>258</v>
      </c>
      <c r="B1" s="18"/>
      <c r="C1" s="18"/>
      <c r="D1" s="18"/>
      <c r="E1" s="18"/>
      <c r="F1" s="18"/>
      <c r="G1" s="18"/>
      <c r="H1" s="18"/>
      <c r="I1" s="18"/>
      <c r="J1" s="1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259</v>
      </c>
      <c r="B3" s="2" t="s">
        <v>118</v>
      </c>
      <c r="C3" s="2" t="s">
        <v>187</v>
      </c>
      <c r="D3" s="2" t="s">
        <v>29</v>
      </c>
      <c r="E3" s="2" t="s">
        <v>119</v>
      </c>
      <c r="F3" s="2" t="s">
        <v>260</v>
      </c>
      <c r="G3" s="2" t="s">
        <v>27</v>
      </c>
      <c r="H3" s="2" t="s">
        <v>122</v>
      </c>
      <c r="I3" s="2" t="s">
        <v>261</v>
      </c>
      <c r="J3" s="2" t="s">
        <v>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262</v>
      </c>
      <c r="B4" s="3" t="s">
        <v>263</v>
      </c>
      <c r="C4" s="3" t="s">
        <v>196</v>
      </c>
      <c r="D4" s="3" t="s">
        <v>34</v>
      </c>
      <c r="E4" s="7">
        <v>46204</v>
      </c>
      <c r="F4" s="7">
        <v>46218</v>
      </c>
      <c r="G4" s="3" t="s">
        <v>65</v>
      </c>
      <c r="H4" s="9">
        <v>0.7</v>
      </c>
      <c r="I4" s="3" t="s">
        <v>264</v>
      </c>
      <c r="J4" s="3" t="s">
        <v>265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266</v>
      </c>
      <c r="B5" s="3" t="s">
        <v>267</v>
      </c>
      <c r="C5" s="3" t="s">
        <v>196</v>
      </c>
      <c r="D5" s="3" t="s">
        <v>76</v>
      </c>
      <c r="E5" s="7">
        <v>46208</v>
      </c>
      <c r="F5" s="7">
        <v>46223</v>
      </c>
      <c r="G5" s="3" t="s">
        <v>65</v>
      </c>
      <c r="H5" s="9">
        <v>0.6</v>
      </c>
      <c r="I5" s="3" t="s">
        <v>268</v>
      </c>
      <c r="J5" s="3" t="s">
        <v>269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270</v>
      </c>
      <c r="B6" s="3" t="s">
        <v>271</v>
      </c>
      <c r="C6" s="3" t="s">
        <v>196</v>
      </c>
      <c r="D6" s="3" t="s">
        <v>37</v>
      </c>
      <c r="E6" s="7">
        <v>46213</v>
      </c>
      <c r="F6" s="7">
        <v>46233</v>
      </c>
      <c r="G6" s="3" t="s">
        <v>82</v>
      </c>
      <c r="H6" s="9">
        <v>0.25</v>
      </c>
      <c r="I6" s="3" t="s">
        <v>272</v>
      </c>
      <c r="J6" s="3" t="s">
        <v>273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274</v>
      </c>
      <c r="B7" s="3" t="s">
        <v>275</v>
      </c>
      <c r="C7" s="3" t="s">
        <v>201</v>
      </c>
      <c r="D7" s="3" t="s">
        <v>40</v>
      </c>
      <c r="E7" s="7">
        <v>46215</v>
      </c>
      <c r="F7" s="7">
        <v>46228</v>
      </c>
      <c r="G7" s="3" t="s">
        <v>77</v>
      </c>
      <c r="H7" s="9">
        <v>1</v>
      </c>
      <c r="I7" s="3" t="s">
        <v>276</v>
      </c>
      <c r="J7" s="3" t="s">
        <v>277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278</v>
      </c>
      <c r="B8" s="3" t="s">
        <v>279</v>
      </c>
      <c r="C8" s="3" t="s">
        <v>201</v>
      </c>
      <c r="D8" s="3" t="s">
        <v>43</v>
      </c>
      <c r="E8" s="7">
        <v>46235</v>
      </c>
      <c r="F8" s="7">
        <v>46249</v>
      </c>
      <c r="G8" s="3" t="s">
        <v>82</v>
      </c>
      <c r="H8" s="9">
        <v>0.1</v>
      </c>
      <c r="I8" s="3" t="s">
        <v>280</v>
      </c>
      <c r="J8" s="3" t="s">
        <v>281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282</v>
      </c>
      <c r="B9" s="3" t="s">
        <v>283</v>
      </c>
      <c r="C9" s="3" t="s">
        <v>201</v>
      </c>
      <c r="D9" s="3" t="s">
        <v>46</v>
      </c>
      <c r="E9" s="7">
        <v>46235</v>
      </c>
      <c r="F9" s="7">
        <v>46265</v>
      </c>
      <c r="G9" s="3" t="s">
        <v>82</v>
      </c>
      <c r="H9" s="9">
        <v>0.1</v>
      </c>
      <c r="I9" s="3" t="s">
        <v>284</v>
      </c>
      <c r="J9" s="3" t="s">
        <v>285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/>
      <c r="B10" s="3"/>
      <c r="C10" s="3"/>
      <c r="D10" s="3"/>
      <c r="E10" s="7"/>
      <c r="F10" s="7"/>
      <c r="G10" s="3"/>
      <c r="H10" s="9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/>
      <c r="B11" s="3"/>
      <c r="C11" s="3"/>
      <c r="D11" s="3"/>
      <c r="E11" s="7"/>
      <c r="F11" s="7"/>
      <c r="G11" s="3"/>
      <c r="H11" s="9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/>
      <c r="B12" s="3"/>
      <c r="C12" s="3"/>
      <c r="D12" s="3"/>
      <c r="E12" s="7"/>
      <c r="F12" s="7"/>
      <c r="G12" s="3"/>
      <c r="H12" s="9"/>
      <c r="I12" s="3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/>
      <c r="B13" s="3"/>
      <c r="C13" s="3"/>
      <c r="D13" s="3"/>
      <c r="E13" s="7"/>
      <c r="F13" s="7"/>
      <c r="G13" s="3"/>
      <c r="H13" s="9"/>
      <c r="I13" s="3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/>
      <c r="B14" s="3"/>
      <c r="C14" s="3"/>
      <c r="D14" s="3"/>
      <c r="E14" s="7"/>
      <c r="F14" s="7"/>
      <c r="G14" s="3"/>
      <c r="H14" s="9"/>
      <c r="I14" s="3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/>
      <c r="B15" s="3"/>
      <c r="C15" s="3"/>
      <c r="D15" s="3"/>
      <c r="E15" s="7"/>
      <c r="F15" s="7"/>
      <c r="G15" s="3"/>
      <c r="H15" s="9"/>
      <c r="I15" s="3"/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7"/>
      <c r="F16" s="7"/>
      <c r="G16" s="3"/>
      <c r="H16" s="9"/>
      <c r="I16" s="3"/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7"/>
      <c r="F17" s="7"/>
      <c r="G17" s="3"/>
      <c r="H17" s="9"/>
      <c r="I17" s="3"/>
      <c r="J17" s="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/>
      <c r="B18" s="3"/>
      <c r="C18" s="3"/>
      <c r="D18" s="3"/>
      <c r="E18" s="7"/>
      <c r="F18" s="7"/>
      <c r="G18" s="3"/>
      <c r="H18" s="9"/>
      <c r="I18" s="3"/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/>
      <c r="B19" s="3"/>
      <c r="C19" s="3"/>
      <c r="D19" s="3"/>
      <c r="E19" s="7"/>
      <c r="F19" s="7"/>
      <c r="G19" s="3"/>
      <c r="H19" s="9"/>
      <c r="I19" s="3"/>
      <c r="J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/>
      <c r="B20" s="3"/>
      <c r="C20" s="3"/>
      <c r="D20" s="3"/>
      <c r="E20" s="7"/>
      <c r="F20" s="7"/>
      <c r="G20" s="3"/>
      <c r="H20" s="9"/>
      <c r="I20" s="3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/>
      <c r="B21" s="3"/>
      <c r="C21" s="3"/>
      <c r="D21" s="3"/>
      <c r="E21" s="7"/>
      <c r="F21" s="7"/>
      <c r="G21" s="3"/>
      <c r="H21" s="9"/>
      <c r="I21" s="3"/>
      <c r="J21" s="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/>
      <c r="B22" s="3"/>
      <c r="C22" s="3"/>
      <c r="D22" s="3"/>
      <c r="E22" s="7"/>
      <c r="F22" s="7"/>
      <c r="G22" s="3"/>
      <c r="H22" s="9"/>
      <c r="I22" s="3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/>
      <c r="B23" s="3"/>
      <c r="C23" s="3"/>
      <c r="D23" s="3"/>
      <c r="E23" s="7"/>
      <c r="F23" s="7"/>
      <c r="G23" s="3"/>
      <c r="H23" s="9"/>
      <c r="I23" s="3"/>
      <c r="J23" s="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/>
      <c r="B24" s="3"/>
      <c r="C24" s="3"/>
      <c r="D24" s="3"/>
      <c r="E24" s="7"/>
      <c r="F24" s="7"/>
      <c r="G24" s="3"/>
      <c r="H24" s="9"/>
      <c r="I24" s="3"/>
      <c r="J24" s="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/>
      <c r="B25" s="3"/>
      <c r="C25" s="3"/>
      <c r="D25" s="3"/>
      <c r="E25" s="7"/>
      <c r="F25" s="7"/>
      <c r="G25" s="3"/>
      <c r="H25" s="9"/>
      <c r="I25" s="3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/>
      <c r="B26" s="3"/>
      <c r="C26" s="3"/>
      <c r="D26" s="3"/>
      <c r="E26" s="7"/>
      <c r="F26" s="7"/>
      <c r="G26" s="3"/>
      <c r="H26" s="9"/>
      <c r="I26" s="3"/>
      <c r="J26" s="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/>
      <c r="B27" s="3"/>
      <c r="C27" s="3"/>
      <c r="D27" s="3"/>
      <c r="E27" s="7"/>
      <c r="F27" s="7"/>
      <c r="G27" s="3"/>
      <c r="H27" s="9"/>
      <c r="I27" s="3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/>
      <c r="B28" s="3"/>
      <c r="C28" s="3"/>
      <c r="D28" s="3"/>
      <c r="E28" s="7"/>
      <c r="F28" s="7"/>
      <c r="G28" s="3"/>
      <c r="H28" s="9"/>
      <c r="I28" s="3"/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/>
      <c r="B29" s="3"/>
      <c r="C29" s="3"/>
      <c r="D29" s="3"/>
      <c r="E29" s="7"/>
      <c r="F29" s="7"/>
      <c r="G29" s="3"/>
      <c r="H29" s="9"/>
      <c r="I29" s="3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/>
      <c r="B30" s="3"/>
      <c r="C30" s="3"/>
      <c r="D30" s="3"/>
      <c r="E30" s="7"/>
      <c r="F30" s="7"/>
      <c r="G30" s="3"/>
      <c r="H30" s="9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/>
      <c r="B31" s="3"/>
      <c r="C31" s="3"/>
      <c r="D31" s="3"/>
      <c r="E31" s="7"/>
      <c r="F31" s="7"/>
      <c r="G31" s="3"/>
      <c r="H31" s="9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/>
      <c r="B32" s="3"/>
      <c r="C32" s="3"/>
      <c r="D32" s="3"/>
      <c r="E32" s="7"/>
      <c r="F32" s="7"/>
      <c r="G32" s="3"/>
      <c r="H32" s="9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/>
      <c r="B33" s="3"/>
      <c r="C33" s="3"/>
      <c r="D33" s="3"/>
      <c r="E33" s="7"/>
      <c r="F33" s="7"/>
      <c r="G33" s="3"/>
      <c r="H33" s="9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/>
      <c r="B34" s="3"/>
      <c r="C34" s="3"/>
      <c r="D34" s="3"/>
      <c r="E34" s="7"/>
      <c r="F34" s="7"/>
      <c r="G34" s="3"/>
      <c r="H34" s="9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/>
      <c r="B35" s="3"/>
      <c r="C35" s="3"/>
      <c r="D35" s="3"/>
      <c r="E35" s="7"/>
      <c r="F35" s="7"/>
      <c r="G35" s="3"/>
      <c r="H35" s="9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/>
      <c r="B36" s="3"/>
      <c r="C36" s="3"/>
      <c r="D36" s="3"/>
      <c r="E36" s="7"/>
      <c r="F36" s="7"/>
      <c r="G36" s="3"/>
      <c r="H36" s="9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/>
      <c r="B37" s="3"/>
      <c r="C37" s="3"/>
      <c r="D37" s="3"/>
      <c r="E37" s="7"/>
      <c r="F37" s="7"/>
      <c r="G37" s="3"/>
      <c r="H37" s="9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/>
      <c r="B38" s="3"/>
      <c r="C38" s="3"/>
      <c r="D38" s="3"/>
      <c r="E38" s="7"/>
      <c r="F38" s="7"/>
      <c r="G38" s="3"/>
      <c r="H38" s="9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3"/>
      <c r="B39" s="3"/>
      <c r="C39" s="3"/>
      <c r="D39" s="3"/>
      <c r="E39" s="7"/>
      <c r="F39" s="7"/>
      <c r="G39" s="3"/>
      <c r="H39" s="9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3"/>
      <c r="B40" s="3"/>
      <c r="C40" s="3"/>
      <c r="D40" s="3"/>
      <c r="E40" s="7"/>
      <c r="F40" s="7"/>
      <c r="G40" s="3"/>
      <c r="H40" s="9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J1"/>
  </mergeCells>
  <conditionalFormatting sqref="H4:H40">
    <cfRule type="dataBar" priority="1">
      <dataBar>
        <cfvo type="min"/>
        <cfvo type="max"/>
        <color rgb="FF1F7A8C"/>
      </dataBar>
    </cfRule>
    <cfRule type="dataBar" priority="2">
      <dataBar>
        <cfvo type="min"/>
        <cfvo type="max"/>
        <color rgb="FF1F7A8C"/>
      </dataBar>
      <extLst>
        <ext xmlns:x14="http://schemas.microsoft.com/office/spreadsheetml/2009/9/main" uri="{B025F937-C7B1-47D3-B67F-A62EFF666E3E}">
          <x14:id>{6FB95B84-583D-7476-30A3-A114FF9E01F4}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B95B84-583D-7476-30A3-A114FF9E01F4}">
            <x14:dataBar>
              <x14:cfvo type="min"/>
              <x14:cfvo type="max"/>
              <x14:negativeFillColor auto="1"/>
              <x14:axisColor auto="1"/>
            </x14:dataBar>
          </x14:cfRule>
          <xm:sqref>H4:H40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800-000000000000}">
          <x14:formula1>
            <xm:f>'Validation Lists'!$B$2:$B$5</xm:f>
          </x14:formula1>
          <xm:sqref>C4:C40</xm:sqref>
        </x14:dataValidation>
        <x14:dataValidation type="list" xr:uid="{00000000-0002-0000-0800-000001000000}">
          <x14:formula1>
            <xm:f>'Validation Lists'!$E$2:$E$8</xm:f>
          </x14:formula1>
          <xm:sqref>D4:D40</xm:sqref>
        </x14:dataValidation>
        <x14:dataValidation type="list" xr:uid="{00000000-0002-0000-0800-000002000000}">
          <x14:formula1>
            <xm:f>'Validation Lists'!$A$2:$A$6</xm:f>
          </x14:formula1>
          <xm:sqref>G4:G40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"/>
  <sheetViews>
    <sheetView workbookViewId="0"/>
  </sheetViews>
  <sheetFormatPr defaultRowHeight="13.8"/>
  <cols>
    <col min="1" max="1" width="9.09765625" customWidth="1"/>
    <col min="2" max="2" width="6.69921875" customWidth="1"/>
    <col min="3" max="3" width="19.59765625" customWidth="1"/>
    <col min="4" max="4" width="12.59765625" customWidth="1"/>
    <col min="5" max="5" width="20.69921875" customWidth="1"/>
    <col min="6" max="6" width="15.5" customWidth="1"/>
    <col min="7" max="7" width="12.19921875" customWidth="1"/>
    <col min="8" max="8" width="14" customWidth="1"/>
  </cols>
  <sheetData>
    <row r="1" spans="1:26" ht="19.2" customHeight="1">
      <c r="A1" s="2" t="s">
        <v>27</v>
      </c>
      <c r="B1" s="2" t="s">
        <v>187</v>
      </c>
      <c r="C1" s="2" t="s">
        <v>51</v>
      </c>
      <c r="D1" s="2" t="s">
        <v>141</v>
      </c>
      <c r="E1" s="2" t="s">
        <v>29</v>
      </c>
      <c r="F1" s="2" t="s">
        <v>286</v>
      </c>
      <c r="G1" s="2" t="s">
        <v>112</v>
      </c>
      <c r="H1" s="2" t="s">
        <v>50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>
      <c r="A2" s="3" t="s">
        <v>82</v>
      </c>
      <c r="B2" s="3" t="s">
        <v>211</v>
      </c>
      <c r="C2" s="3" t="s">
        <v>62</v>
      </c>
      <c r="D2" s="3" t="s">
        <v>194</v>
      </c>
      <c r="E2" s="3" t="s">
        <v>34</v>
      </c>
      <c r="F2" s="3" t="s">
        <v>181</v>
      </c>
      <c r="G2" s="3" t="s">
        <v>114</v>
      </c>
      <c r="H2" s="3" t="s">
        <v>67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3" t="s">
        <v>65</v>
      </c>
      <c r="B3" s="3" t="s">
        <v>201</v>
      </c>
      <c r="C3" s="3" t="s">
        <v>68</v>
      </c>
      <c r="D3" s="3" t="s">
        <v>153</v>
      </c>
      <c r="E3" s="3" t="s">
        <v>91</v>
      </c>
      <c r="F3" s="3" t="s">
        <v>168</v>
      </c>
      <c r="G3" s="3" t="s">
        <v>113</v>
      </c>
      <c r="H3" s="3" t="s">
        <v>61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3" t="s">
        <v>77</v>
      </c>
      <c r="B4" s="3" t="s">
        <v>196</v>
      </c>
      <c r="C4" s="3" t="s">
        <v>73</v>
      </c>
      <c r="D4" s="3" t="s">
        <v>205</v>
      </c>
      <c r="E4" s="3" t="s">
        <v>40</v>
      </c>
      <c r="F4" s="3" t="s">
        <v>77</v>
      </c>
      <c r="G4" s="3"/>
      <c r="H4" s="3" t="s">
        <v>72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3" t="s">
        <v>92</v>
      </c>
      <c r="B5" s="3" t="s">
        <v>287</v>
      </c>
      <c r="C5" s="3" t="s">
        <v>79</v>
      </c>
      <c r="D5" s="3" t="s">
        <v>79</v>
      </c>
      <c r="E5" s="3" t="s">
        <v>76</v>
      </c>
      <c r="F5" s="3" t="s">
        <v>288</v>
      </c>
      <c r="G5" s="3"/>
      <c r="H5" s="3" t="s">
        <v>84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289</v>
      </c>
      <c r="B6" s="3"/>
      <c r="C6" s="3" t="s">
        <v>85</v>
      </c>
      <c r="D6" s="3" t="s">
        <v>290</v>
      </c>
      <c r="E6" s="3" t="s">
        <v>37</v>
      </c>
      <c r="F6" s="3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/>
      <c r="B7" s="3"/>
      <c r="C7" s="3" t="s">
        <v>98</v>
      </c>
      <c r="D7" s="3" t="s">
        <v>291</v>
      </c>
      <c r="E7" s="3" t="s">
        <v>46</v>
      </c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/>
      <c r="B8" s="3"/>
      <c r="C8" s="3" t="s">
        <v>94</v>
      </c>
      <c r="D8" s="3" t="s">
        <v>292</v>
      </c>
      <c r="E8" s="3" t="s">
        <v>43</v>
      </c>
      <c r="F8" s="3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/>
      <c r="B9" s="3"/>
      <c r="C9" s="3"/>
      <c r="D9" s="3"/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/>
      <c r="B10" s="3"/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/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/>
      <c r="B13" s="3"/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/>
      <c r="B14" s="3"/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/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/>
      <c r="B19" s="3"/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/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/>
      <c r="B24" s="3"/>
      <c r="C24" s="3"/>
      <c r="D24" s="3"/>
      <c r="E24" s="3"/>
      <c r="F24" s="3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/>
      <c r="B25" s="3"/>
      <c r="C25" s="3"/>
      <c r="D25" s="3"/>
      <c r="E25" s="3"/>
      <c r="F25" s="3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/>
      <c r="B26" s="3"/>
      <c r="C26" s="3"/>
      <c r="D26" s="3"/>
      <c r="E26" s="3"/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/>
      <c r="B27" s="3"/>
      <c r="C27" s="3"/>
      <c r="D27" s="3"/>
      <c r="E27" s="3"/>
      <c r="F27" s="3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/>
      <c r="B28" s="3"/>
      <c r="C28" s="3"/>
      <c r="D28" s="3"/>
      <c r="E28" s="3"/>
      <c r="F28" s="3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/>
      <c r="B29" s="3"/>
      <c r="C29" s="3"/>
      <c r="D29" s="3"/>
      <c r="E29" s="3"/>
      <c r="F29" s="3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/>
      <c r="B30" s="3"/>
      <c r="C30" s="3"/>
      <c r="D30" s="3"/>
      <c r="E30" s="3"/>
      <c r="F30" s="3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/>
      <c r="B31" s="3"/>
      <c r="C31" s="3"/>
      <c r="D31" s="3"/>
      <c r="E31" s="3"/>
      <c r="F31" s="3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/>
      <c r="B32" s="3"/>
      <c r="C32" s="3"/>
      <c r="D32" s="3"/>
      <c r="E32" s="3"/>
      <c r="F32" s="3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/>
      <c r="B34" s="3"/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/>
      <c r="B35" s="3"/>
      <c r="C35" s="3"/>
      <c r="D35" s="3"/>
      <c r="E35" s="3"/>
      <c r="F35" s="3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/>
      <c r="B36" s="3"/>
      <c r="C36" s="3"/>
      <c r="D36" s="3"/>
      <c r="E36" s="3"/>
      <c r="F36" s="3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/>
      <c r="B37" s="3"/>
      <c r="C37" s="3"/>
      <c r="D37" s="3"/>
      <c r="E37" s="3"/>
      <c r="F37" s="3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/>
      <c r="B38" s="3"/>
      <c r="C38" s="3"/>
      <c r="D38" s="3"/>
      <c r="E38" s="3"/>
      <c r="F38" s="3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3"/>
      <c r="B39" s="3"/>
      <c r="C39" s="3"/>
      <c r="D39" s="3"/>
      <c r="E39" s="3"/>
      <c r="F39" s="3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3"/>
      <c r="B40" s="3"/>
      <c r="C40" s="3"/>
      <c r="D40" s="3"/>
      <c r="E40" s="3"/>
      <c r="F40" s="3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3"/>
      <c r="B41" s="3"/>
      <c r="C41" s="3"/>
      <c r="D41" s="3"/>
      <c r="E41" s="3"/>
      <c r="F41" s="3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3"/>
      <c r="B42" s="3"/>
      <c r="C42" s="3"/>
      <c r="D42" s="3"/>
      <c r="E42" s="3"/>
      <c r="F42" s="3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3"/>
      <c r="B43" s="3"/>
      <c r="C43" s="3"/>
      <c r="D43" s="3"/>
      <c r="E43" s="3"/>
      <c r="F43" s="3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3"/>
      <c r="B44" s="3"/>
      <c r="C44" s="3"/>
      <c r="D44" s="3"/>
      <c r="E44" s="3"/>
      <c r="F44" s="3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3"/>
      <c r="B45" s="3"/>
      <c r="C45" s="3"/>
      <c r="D45" s="3"/>
      <c r="E45" s="3"/>
      <c r="F45" s="3"/>
      <c r="G45" s="3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3"/>
      <c r="B46" s="3"/>
      <c r="C46" s="3"/>
      <c r="D46" s="3"/>
      <c r="E46" s="3"/>
      <c r="F46" s="3"/>
      <c r="G46" s="3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3"/>
      <c r="B47" s="3"/>
      <c r="C47" s="3"/>
      <c r="D47" s="3"/>
      <c r="E47" s="3"/>
      <c r="F47" s="3"/>
      <c r="G47" s="3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3"/>
      <c r="B48" s="3"/>
      <c r="C48" s="3"/>
      <c r="D48" s="3"/>
      <c r="E48" s="3"/>
      <c r="F48" s="3"/>
      <c r="G48" s="3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3"/>
      <c r="B49" s="3"/>
      <c r="C49" s="3"/>
      <c r="D49" s="3"/>
      <c r="E49" s="3"/>
      <c r="F49" s="3"/>
      <c r="G49" s="3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3"/>
      <c r="B50" s="3"/>
      <c r="C50" s="3"/>
      <c r="D50" s="3"/>
      <c r="E50" s="3"/>
      <c r="F50" s="3"/>
      <c r="G50" s="3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Feedback Tracker</vt:lpstr>
      <vt:lpstr>KPI Monitoring</vt:lpstr>
      <vt:lpstr>Implementation Timeline</vt:lpstr>
      <vt:lpstr>Budget Tracker</vt:lpstr>
      <vt:lpstr>Staff Training</vt:lpstr>
      <vt:lpstr>Complaint Resolution</vt:lpstr>
      <vt:lpstr>Patient Journey</vt:lpstr>
      <vt:lpstr>Action Plan</vt:lpstr>
      <vt:lpstr>Validation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Haghbin</cp:lastModifiedBy>
  <dcterms:modified xsi:type="dcterms:W3CDTF">2026-06-12T09:53:28Z</dcterms:modified>
</cp:coreProperties>
</file>